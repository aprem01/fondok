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612d2673c6fc8640/Documents/Sanctum Capital Group/Deals/Florida/FL Miami South Beach Anglers/Model/Capex Plan/"/>
    </mc:Choice>
  </mc:AlternateContent>
  <xr:revisionPtr revIDLastSave="0" documentId="8_{BE7B0E06-9E82-43BC-AF88-8D33B9138461}" xr6:coauthVersionLast="47" xr6:coauthVersionMax="47" xr10:uidLastSave="{00000000-0000-0000-0000-000000000000}"/>
  <bookViews>
    <workbookView xWindow="28680" yWindow="-120" windowWidth="38640" windowHeight="15720" xr2:uid="{00000000-000D-0000-FFFF-FFFF00000000}"/>
  </bookViews>
  <sheets>
    <sheet name="Summary" sheetId="8" r:id="rId1"/>
    <sheet name="2024 Capex Plan" sheetId="1" r:id="rId2"/>
    <sheet name="2025 Capex Plan" sheetId="2" r:id="rId3"/>
    <sheet name="2026 Capex Plan" sheetId="3" r:id="rId4"/>
    <sheet name="2027 Capex Plan" sheetId="4" r:id="rId5"/>
    <sheet name="2028 Capex Plan" sheetId="5" r:id="rId6"/>
  </sheets>
  <definedNames>
    <definedName name="CurrentYear">#REF!</definedName>
    <definedName name="Estimate_Amount">#REF!</definedName>
    <definedName name="Estimated_Amount2">#REF!</definedName>
    <definedName name="_xlnm.Print_Area" localSheetId="1">'2024 Capex Plan'!$A$17:$Y$121</definedName>
    <definedName name="_xlnm.Print_Area" localSheetId="2">'2025 Capex Plan'!$A$17:$Y$121</definedName>
    <definedName name="_xlnm.Print_Area" localSheetId="3">'2026 Capex Plan'!$A$17:$Y$121</definedName>
    <definedName name="_xlnm.Print_Area" localSheetId="4">'2027 Capex Plan'!$A$17:$Y$121</definedName>
    <definedName name="_xlnm.Print_Area" localSheetId="5">'2028 Capex Plan'!$A$17:$Y$121</definedName>
    <definedName name="_xlnm.Print_Area" localSheetId="0">Summary!$A$1:$L$50</definedName>
  </definedNames>
  <calcPr calcId="191029" iterateDelta="9.999999999999445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iBpvxN41FXckHFGy8XTi3bz8c8Ew=="/>
    </ext>
  </extLst>
</workbook>
</file>

<file path=xl/calcChain.xml><?xml version="1.0" encoding="utf-8"?>
<calcChain xmlns="http://schemas.openxmlformats.org/spreadsheetml/2006/main">
  <c r="G32" i="8" l="1"/>
  <c r="H32" i="8"/>
  <c r="I32" i="8"/>
  <c r="J32" i="8"/>
  <c r="K32" i="8"/>
  <c r="L32" i="8"/>
  <c r="M100" i="3"/>
  <c r="J100" i="3"/>
  <c r="I100" i="3"/>
  <c r="M100" i="4"/>
  <c r="I100" i="4"/>
  <c r="M100" i="5"/>
  <c r="I100" i="5"/>
  <c r="M100" i="1"/>
  <c r="I100" i="1"/>
  <c r="M100" i="2"/>
  <c r="J100" i="2"/>
  <c r="K100" i="2" s="1"/>
  <c r="I100" i="2"/>
  <c r="M109" i="3"/>
  <c r="J109" i="3"/>
  <c r="K109" i="3" s="1"/>
  <c r="I109" i="3"/>
  <c r="L109" i="3" s="1"/>
  <c r="M108" i="3"/>
  <c r="J108" i="3"/>
  <c r="I108" i="3"/>
  <c r="M109" i="4"/>
  <c r="I109" i="4"/>
  <c r="M108" i="4"/>
  <c r="I108" i="4"/>
  <c r="M109" i="5"/>
  <c r="J109" i="5"/>
  <c r="K109" i="5" s="1"/>
  <c r="I109" i="5"/>
  <c r="M108" i="5"/>
  <c r="I108" i="5"/>
  <c r="J108" i="5" s="1"/>
  <c r="M109" i="1"/>
  <c r="I109" i="1"/>
  <c r="M108" i="1"/>
  <c r="I108" i="1"/>
  <c r="M109" i="2"/>
  <c r="I109" i="2"/>
  <c r="M108" i="2"/>
  <c r="I108" i="2"/>
  <c r="J108" i="2" s="1"/>
  <c r="M96" i="3"/>
  <c r="J96" i="3"/>
  <c r="K96" i="3" s="1"/>
  <c r="I96" i="3"/>
  <c r="L96" i="3" s="1"/>
  <c r="M95" i="3"/>
  <c r="I95" i="3"/>
  <c r="M96" i="4"/>
  <c r="I96" i="4"/>
  <c r="M95" i="4"/>
  <c r="I95" i="4"/>
  <c r="M96" i="5"/>
  <c r="J96" i="5"/>
  <c r="I96" i="5"/>
  <c r="M95" i="5"/>
  <c r="J95" i="5"/>
  <c r="I95" i="5"/>
  <c r="M96" i="1"/>
  <c r="J96" i="1"/>
  <c r="K96" i="1" s="1"/>
  <c r="I96" i="1"/>
  <c r="M95" i="1"/>
  <c r="I95" i="1"/>
  <c r="M96" i="2"/>
  <c r="I96" i="2"/>
  <c r="M95" i="2"/>
  <c r="I95" i="2"/>
  <c r="J95" i="2" s="1"/>
  <c r="M82" i="3"/>
  <c r="J82" i="3"/>
  <c r="I82" i="3"/>
  <c r="M81" i="3"/>
  <c r="I81" i="3"/>
  <c r="M82" i="4"/>
  <c r="I82" i="4"/>
  <c r="M81" i="4"/>
  <c r="I81" i="4"/>
  <c r="M82" i="5"/>
  <c r="J82" i="5"/>
  <c r="I82" i="5"/>
  <c r="M81" i="5"/>
  <c r="I81" i="5"/>
  <c r="J81" i="5" s="1"/>
  <c r="M82" i="1"/>
  <c r="I82" i="1"/>
  <c r="M81" i="1"/>
  <c r="I81" i="1"/>
  <c r="M82" i="2"/>
  <c r="I82" i="2"/>
  <c r="J82" i="2" s="1"/>
  <c r="M81" i="2"/>
  <c r="I81" i="2"/>
  <c r="J81" i="2" s="1"/>
  <c r="M72" i="3"/>
  <c r="J72" i="3"/>
  <c r="I72" i="3"/>
  <c r="M71" i="3"/>
  <c r="I71" i="3"/>
  <c r="M72" i="4"/>
  <c r="I72" i="4"/>
  <c r="M71" i="4"/>
  <c r="I71" i="4"/>
  <c r="M72" i="5"/>
  <c r="J72" i="5"/>
  <c r="K72" i="5" s="1"/>
  <c r="L72" i="5" s="1"/>
  <c r="I72" i="5"/>
  <c r="M71" i="5"/>
  <c r="I71" i="5"/>
  <c r="M72" i="1"/>
  <c r="I72" i="1"/>
  <c r="J72" i="1" s="1"/>
  <c r="K72" i="1" s="1"/>
  <c r="M71" i="1"/>
  <c r="I71" i="1"/>
  <c r="M72" i="2"/>
  <c r="I72" i="2"/>
  <c r="M71" i="2"/>
  <c r="I71" i="2"/>
  <c r="J71" i="2" s="1"/>
  <c r="M59" i="3"/>
  <c r="I59" i="3"/>
  <c r="M58" i="3"/>
  <c r="I58" i="3"/>
  <c r="J58" i="3" s="1"/>
  <c r="M59" i="4"/>
  <c r="I59" i="4"/>
  <c r="M58" i="4"/>
  <c r="I58" i="4"/>
  <c r="M59" i="5"/>
  <c r="J59" i="5"/>
  <c r="I59" i="5"/>
  <c r="M58" i="5"/>
  <c r="J58" i="5"/>
  <c r="I58" i="5"/>
  <c r="M59" i="1"/>
  <c r="I59" i="1"/>
  <c r="J59" i="1" s="1"/>
  <c r="M58" i="1"/>
  <c r="I58" i="1"/>
  <c r="M59" i="2"/>
  <c r="I59" i="2"/>
  <c r="M58" i="2"/>
  <c r="I58" i="2"/>
  <c r="J58" i="2" s="1"/>
  <c r="M45" i="3"/>
  <c r="J45" i="3"/>
  <c r="I45" i="3"/>
  <c r="M44" i="3"/>
  <c r="I44" i="3"/>
  <c r="J44" i="3" s="1"/>
  <c r="M45" i="4"/>
  <c r="I45" i="4"/>
  <c r="M44" i="4"/>
  <c r="I44" i="4"/>
  <c r="M45" i="5"/>
  <c r="J45" i="5"/>
  <c r="I45" i="5"/>
  <c r="M44" i="5"/>
  <c r="I44" i="5"/>
  <c r="M45" i="1"/>
  <c r="I45" i="1"/>
  <c r="J45" i="1" s="1"/>
  <c r="M44" i="1"/>
  <c r="I44" i="1"/>
  <c r="M45" i="2"/>
  <c r="I45" i="2"/>
  <c r="M44" i="2"/>
  <c r="I44" i="2"/>
  <c r="J44" i="2" s="1"/>
  <c r="L28" i="8"/>
  <c r="K28" i="8"/>
  <c r="J28" i="8"/>
  <c r="I28" i="8"/>
  <c r="H28" i="8"/>
  <c r="F28" i="1"/>
  <c r="F33" i="8" l="1"/>
  <c r="J100" i="4"/>
  <c r="L100" i="4" s="1"/>
  <c r="L100" i="2"/>
  <c r="K100" i="4"/>
  <c r="J100" i="1"/>
  <c r="L100" i="1" s="1"/>
  <c r="K100" i="1"/>
  <c r="K100" i="3"/>
  <c r="L100" i="3" s="1"/>
  <c r="J100" i="5"/>
  <c r="K108" i="2"/>
  <c r="L108" i="2" s="1"/>
  <c r="K108" i="5"/>
  <c r="L108" i="5" s="1"/>
  <c r="K108" i="3"/>
  <c r="L108" i="3" s="1"/>
  <c r="L109" i="5"/>
  <c r="J109" i="2"/>
  <c r="J108" i="4"/>
  <c r="K108" i="4" s="1"/>
  <c r="J109" i="1"/>
  <c r="J108" i="1"/>
  <c r="K108" i="1" s="1"/>
  <c r="J109" i="4"/>
  <c r="K109" i="4" s="1"/>
  <c r="L96" i="1"/>
  <c r="K95" i="2"/>
  <c r="L95" i="2" s="1"/>
  <c r="K96" i="5"/>
  <c r="L96" i="5" s="1"/>
  <c r="J95" i="3"/>
  <c r="K95" i="3" s="1"/>
  <c r="J95" i="4"/>
  <c r="K95" i="4" s="1"/>
  <c r="J96" i="2"/>
  <c r="K96" i="2" s="1"/>
  <c r="K95" i="5"/>
  <c r="L95" i="5" s="1"/>
  <c r="J96" i="4"/>
  <c r="J95" i="1"/>
  <c r="K95" i="1" s="1"/>
  <c r="K81" i="2"/>
  <c r="L81" i="2" s="1"/>
  <c r="K81" i="5"/>
  <c r="L81" i="5" s="1"/>
  <c r="K82" i="5"/>
  <c r="L82" i="5" s="1"/>
  <c r="J81" i="3"/>
  <c r="K82" i="2"/>
  <c r="L82" i="2" s="1"/>
  <c r="J81" i="4"/>
  <c r="J82" i="1"/>
  <c r="K82" i="1" s="1"/>
  <c r="K45" i="5"/>
  <c r="L45" i="5" s="1"/>
  <c r="K82" i="3"/>
  <c r="L82" i="3" s="1"/>
  <c r="J81" i="1"/>
  <c r="K81" i="1" s="1"/>
  <c r="J82" i="4"/>
  <c r="K82" i="4" s="1"/>
  <c r="K71" i="2"/>
  <c r="L71" i="2" s="1"/>
  <c r="L72" i="3"/>
  <c r="J71" i="3"/>
  <c r="K71" i="3" s="1"/>
  <c r="J72" i="2"/>
  <c r="K72" i="2" s="1"/>
  <c r="L72" i="1"/>
  <c r="J71" i="4"/>
  <c r="K71" i="4" s="1"/>
  <c r="J71" i="5"/>
  <c r="K71" i="5"/>
  <c r="J71" i="1"/>
  <c r="K72" i="3"/>
  <c r="J72" i="4"/>
  <c r="K72" i="4" s="1"/>
  <c r="K58" i="2"/>
  <c r="L58" i="2" s="1"/>
  <c r="K59" i="5"/>
  <c r="L59" i="5" s="1"/>
  <c r="J59" i="2"/>
  <c r="K59" i="2" s="1"/>
  <c r="K58" i="3"/>
  <c r="J58" i="4"/>
  <c r="K58" i="4" s="1"/>
  <c r="L58" i="4" s="1"/>
  <c r="L58" i="3"/>
  <c r="K59" i="1"/>
  <c r="L59" i="1" s="1"/>
  <c r="J59" i="3"/>
  <c r="K59" i="3" s="1"/>
  <c r="L59" i="3" s="1"/>
  <c r="J58" i="1"/>
  <c r="K58" i="5"/>
  <c r="L58" i="5" s="1"/>
  <c r="K58" i="1"/>
  <c r="J59" i="4"/>
  <c r="K44" i="2"/>
  <c r="L44" i="2"/>
  <c r="K45" i="1"/>
  <c r="J45" i="2"/>
  <c r="K45" i="2" s="1"/>
  <c r="L45" i="1"/>
  <c r="K44" i="3"/>
  <c r="L44" i="3" s="1"/>
  <c r="J44" i="4"/>
  <c r="K44" i="4" s="1"/>
  <c r="L44" i="4" s="1"/>
  <c r="J44" i="5"/>
  <c r="K44" i="5" s="1"/>
  <c r="K45" i="3"/>
  <c r="L45" i="3" s="1"/>
  <c r="J44" i="1"/>
  <c r="J45" i="4"/>
  <c r="G28" i="8"/>
  <c r="F30" i="1"/>
  <c r="F28" i="2"/>
  <c r="F30" i="2" s="1"/>
  <c r="F28" i="3"/>
  <c r="F30" i="3" s="1"/>
  <c r="F28" i="4"/>
  <c r="F30" i="4" s="1"/>
  <c r="F28" i="5"/>
  <c r="F30" i="5" s="1"/>
  <c r="I37" i="8"/>
  <c r="J37" i="8" s="1"/>
  <c r="K37" i="8" s="1"/>
  <c r="L37" i="8" s="1"/>
  <c r="F49" i="8"/>
  <c r="E49" i="8"/>
  <c r="B35" i="8"/>
  <c r="G29" i="8"/>
  <c r="I27" i="8"/>
  <c r="J27" i="8" s="1"/>
  <c r="K27" i="8" s="1"/>
  <c r="L27" i="8" s="1"/>
  <c r="G27" i="8"/>
  <c r="G37" i="8" s="1"/>
  <c r="I29" i="8" l="1"/>
  <c r="F29" i="8"/>
  <c r="F30" i="8" s="1"/>
  <c r="F32" i="8" s="1"/>
  <c r="L108" i="4"/>
  <c r="K109" i="2"/>
  <c r="L109" i="2" s="1"/>
  <c r="L108" i="1"/>
  <c r="K100" i="5"/>
  <c r="L100" i="5" s="1"/>
  <c r="L109" i="4"/>
  <c r="K109" i="1"/>
  <c r="L109" i="1" s="1"/>
  <c r="L82" i="1"/>
  <c r="K81" i="3"/>
  <c r="L81" i="3" s="1"/>
  <c r="K81" i="4"/>
  <c r="L81" i="4" s="1"/>
  <c r="L71" i="5"/>
  <c r="L95" i="3"/>
  <c r="L95" i="1"/>
  <c r="K96" i="4"/>
  <c r="L96" i="4" s="1"/>
  <c r="L95" i="4"/>
  <c r="L96" i="2"/>
  <c r="L81" i="1"/>
  <c r="L58" i="1"/>
  <c r="K71" i="1"/>
  <c r="L71" i="1" s="1"/>
  <c r="L82" i="4"/>
  <c r="L72" i="2"/>
  <c r="L72" i="4"/>
  <c r="L71" i="3"/>
  <c r="L71" i="4"/>
  <c r="K59" i="4"/>
  <c r="L59" i="4" s="1"/>
  <c r="L59" i="2"/>
  <c r="L44" i="5"/>
  <c r="K44" i="1"/>
  <c r="L44" i="1" s="1"/>
  <c r="K45" i="4"/>
  <c r="L45" i="4" s="1"/>
  <c r="L45" i="2"/>
  <c r="K29" i="8"/>
  <c r="L29" i="8"/>
  <c r="J29" i="8"/>
  <c r="H29" i="8"/>
  <c r="B34" i="1"/>
  <c r="B34" i="2"/>
  <c r="B34" i="3"/>
  <c r="B34" i="4"/>
  <c r="B34" i="5"/>
  <c r="O118" i="1"/>
  <c r="F120" i="2"/>
  <c r="Y118" i="2"/>
  <c r="X118" i="2"/>
  <c r="W118" i="2"/>
  <c r="V118" i="2"/>
  <c r="U118" i="2"/>
  <c r="T118" i="2"/>
  <c r="S118" i="2"/>
  <c r="R118" i="2"/>
  <c r="Q118" i="2"/>
  <c r="P118" i="2"/>
  <c r="O118" i="2"/>
  <c r="H118" i="2"/>
  <c r="Y117" i="2"/>
  <c r="X117" i="2"/>
  <c r="W117" i="2"/>
  <c r="V117" i="2"/>
  <c r="U117" i="2"/>
  <c r="T117" i="2"/>
  <c r="S117" i="2"/>
  <c r="R117" i="2"/>
  <c r="Q117" i="2"/>
  <c r="P117" i="2"/>
  <c r="O117" i="2"/>
  <c r="H117" i="2"/>
  <c r="Y116" i="2"/>
  <c r="X116" i="2"/>
  <c r="W116" i="2"/>
  <c r="V116" i="2"/>
  <c r="U116" i="2"/>
  <c r="T116" i="2"/>
  <c r="S116" i="2"/>
  <c r="R116" i="2"/>
  <c r="Q116" i="2"/>
  <c r="P116" i="2"/>
  <c r="O116" i="2"/>
  <c r="H116" i="2"/>
  <c r="Y115" i="2"/>
  <c r="X115" i="2"/>
  <c r="W115" i="2"/>
  <c r="V115" i="2"/>
  <c r="U115" i="2"/>
  <c r="T115" i="2"/>
  <c r="S115" i="2"/>
  <c r="R115" i="2"/>
  <c r="Q115" i="2"/>
  <c r="P115" i="2"/>
  <c r="O115" i="2"/>
  <c r="H115" i="2"/>
  <c r="M114" i="2"/>
  <c r="I114" i="2"/>
  <c r="M113" i="2"/>
  <c r="I113" i="2"/>
  <c r="J113" i="2" s="1"/>
  <c r="M112" i="2"/>
  <c r="I112" i="2"/>
  <c r="M111" i="2"/>
  <c r="I111" i="2"/>
  <c r="J111" i="2" s="1"/>
  <c r="M110" i="2"/>
  <c r="I110" i="2"/>
  <c r="J110" i="2" s="1"/>
  <c r="M107" i="2"/>
  <c r="I107" i="2"/>
  <c r="M106" i="2"/>
  <c r="I106" i="2"/>
  <c r="J106" i="2" s="1"/>
  <c r="K106" i="2" s="1"/>
  <c r="M105" i="2"/>
  <c r="I105" i="2"/>
  <c r="M104" i="2"/>
  <c r="I104" i="2"/>
  <c r="I103" i="2"/>
  <c r="Y102" i="2"/>
  <c r="X102" i="2"/>
  <c r="W102" i="2"/>
  <c r="V102" i="2"/>
  <c r="U102" i="2"/>
  <c r="T102" i="2"/>
  <c r="S102" i="2"/>
  <c r="R102" i="2"/>
  <c r="Q102" i="2"/>
  <c r="P102" i="2"/>
  <c r="O102" i="2"/>
  <c r="H102" i="2"/>
  <c r="M101" i="2"/>
  <c r="I101" i="2"/>
  <c r="J101" i="2" s="1"/>
  <c r="M99" i="2"/>
  <c r="I99" i="2"/>
  <c r="J99" i="2" s="1"/>
  <c r="M98" i="2"/>
  <c r="I98" i="2"/>
  <c r="M97" i="2"/>
  <c r="I97" i="2"/>
  <c r="M94" i="2"/>
  <c r="I94" i="2"/>
  <c r="M93" i="2"/>
  <c r="I93" i="2"/>
  <c r="J93" i="2" s="1"/>
  <c r="M92" i="2"/>
  <c r="I92" i="2"/>
  <c r="J92" i="2" s="1"/>
  <c r="M91" i="2"/>
  <c r="I91" i="2"/>
  <c r="I90" i="2"/>
  <c r="Y89" i="2"/>
  <c r="X89" i="2"/>
  <c r="W89" i="2"/>
  <c r="V89" i="2"/>
  <c r="U89" i="2"/>
  <c r="T89" i="2"/>
  <c r="S89" i="2"/>
  <c r="R89" i="2"/>
  <c r="Q89" i="2"/>
  <c r="P89" i="2"/>
  <c r="O89" i="2"/>
  <c r="H89" i="2"/>
  <c r="M88" i="2"/>
  <c r="I88" i="2"/>
  <c r="J88" i="2" s="1"/>
  <c r="K88" i="2" s="1"/>
  <c r="M87" i="2"/>
  <c r="I87" i="2"/>
  <c r="J87" i="2" s="1"/>
  <c r="M86" i="2"/>
  <c r="I86" i="2"/>
  <c r="M85" i="2"/>
  <c r="I85" i="2"/>
  <c r="J85" i="2" s="1"/>
  <c r="M84" i="2"/>
  <c r="I84" i="2"/>
  <c r="J84" i="2" s="1"/>
  <c r="M83" i="2"/>
  <c r="I83" i="2"/>
  <c r="M80" i="2"/>
  <c r="I80" i="2"/>
  <c r="M79" i="2"/>
  <c r="I79" i="2"/>
  <c r="J79" i="2" s="1"/>
  <c r="M78" i="2"/>
  <c r="I78" i="2"/>
  <c r="I77" i="2"/>
  <c r="Y76" i="2"/>
  <c r="X76" i="2"/>
  <c r="W76" i="2"/>
  <c r="V76" i="2"/>
  <c r="U76" i="2"/>
  <c r="T76" i="2"/>
  <c r="S76" i="2"/>
  <c r="R76" i="2"/>
  <c r="Q76" i="2"/>
  <c r="P76" i="2"/>
  <c r="O76" i="2"/>
  <c r="H76" i="2"/>
  <c r="M75" i="2"/>
  <c r="I75" i="2"/>
  <c r="J75" i="2" s="1"/>
  <c r="M74" i="2"/>
  <c r="I74" i="2"/>
  <c r="J74" i="2" s="1"/>
  <c r="M73" i="2"/>
  <c r="I73" i="2"/>
  <c r="M70" i="2"/>
  <c r="I70" i="2"/>
  <c r="M69" i="2"/>
  <c r="I69" i="2"/>
  <c r="J69" i="2" s="1"/>
  <c r="M68" i="2"/>
  <c r="I68" i="2"/>
  <c r="M67" i="2"/>
  <c r="I67" i="2"/>
  <c r="M66" i="2"/>
  <c r="I66" i="2"/>
  <c r="J66" i="2" s="1"/>
  <c r="M65" i="2"/>
  <c r="I65" i="2"/>
  <c r="I64" i="2"/>
  <c r="I117" i="2" s="1"/>
  <c r="Y63" i="2"/>
  <c r="X63" i="2"/>
  <c r="W63" i="2"/>
  <c r="V63" i="2"/>
  <c r="U63" i="2"/>
  <c r="T63" i="2"/>
  <c r="S63" i="2"/>
  <c r="R63" i="2"/>
  <c r="Q63" i="2"/>
  <c r="P63" i="2"/>
  <c r="O63" i="2"/>
  <c r="H63" i="2"/>
  <c r="M62" i="2"/>
  <c r="I62" i="2"/>
  <c r="M61" i="2"/>
  <c r="I61" i="2"/>
  <c r="J61" i="2" s="1"/>
  <c r="M60" i="2"/>
  <c r="I60" i="2"/>
  <c r="M57" i="2"/>
  <c r="I57" i="2"/>
  <c r="J57" i="2" s="1"/>
  <c r="M56" i="2"/>
  <c r="I56" i="2"/>
  <c r="J56" i="2" s="1"/>
  <c r="M55" i="2"/>
  <c r="I55" i="2"/>
  <c r="M54" i="2"/>
  <c r="I54" i="2"/>
  <c r="J54" i="2" s="1"/>
  <c r="M53" i="2"/>
  <c r="I53" i="2"/>
  <c r="J53" i="2" s="1"/>
  <c r="M52" i="2"/>
  <c r="I52" i="2"/>
  <c r="I51" i="2"/>
  <c r="Y50" i="2"/>
  <c r="X50" i="2"/>
  <c r="W50" i="2"/>
  <c r="V50" i="2"/>
  <c r="U50" i="2"/>
  <c r="T50" i="2"/>
  <c r="S50" i="2"/>
  <c r="R50" i="2"/>
  <c r="Q50" i="2"/>
  <c r="P50" i="2"/>
  <c r="O50" i="2"/>
  <c r="H50" i="2"/>
  <c r="M49" i="2"/>
  <c r="I49" i="2"/>
  <c r="J49" i="2" s="1"/>
  <c r="K49" i="2" s="1"/>
  <c r="L49" i="2" s="1"/>
  <c r="M48" i="2"/>
  <c r="I48" i="2"/>
  <c r="J48" i="2" s="1"/>
  <c r="M47" i="2"/>
  <c r="I47" i="2"/>
  <c r="M46" i="2"/>
  <c r="I46" i="2"/>
  <c r="M43" i="2"/>
  <c r="I43" i="2"/>
  <c r="J43" i="2" s="1"/>
  <c r="M42" i="2"/>
  <c r="I42" i="2"/>
  <c r="M41" i="2"/>
  <c r="I41" i="2"/>
  <c r="J41" i="2" s="1"/>
  <c r="M40" i="2"/>
  <c r="I40" i="2"/>
  <c r="J40" i="2" s="1"/>
  <c r="M39" i="2"/>
  <c r="I39" i="2"/>
  <c r="I38" i="2"/>
  <c r="Y37" i="2"/>
  <c r="X37" i="2"/>
  <c r="W37" i="2"/>
  <c r="V37" i="2"/>
  <c r="U37" i="2"/>
  <c r="T37" i="2"/>
  <c r="S37" i="2"/>
  <c r="R37" i="2"/>
  <c r="Q37" i="2"/>
  <c r="P37" i="2"/>
  <c r="O37" i="2"/>
  <c r="H37" i="2"/>
  <c r="F120" i="3"/>
  <c r="Y118" i="3"/>
  <c r="X118" i="3"/>
  <c r="W118" i="3"/>
  <c r="V118" i="3"/>
  <c r="U118" i="3"/>
  <c r="T118" i="3"/>
  <c r="S118" i="3"/>
  <c r="R118" i="3"/>
  <c r="Q118" i="3"/>
  <c r="P118" i="3"/>
  <c r="O118" i="3"/>
  <c r="H118" i="3"/>
  <c r="Y117" i="3"/>
  <c r="X117" i="3"/>
  <c r="W117" i="3"/>
  <c r="V117" i="3"/>
  <c r="U117" i="3"/>
  <c r="T117" i="3"/>
  <c r="S117" i="3"/>
  <c r="R117" i="3"/>
  <c r="Q117" i="3"/>
  <c r="P117" i="3"/>
  <c r="O117" i="3"/>
  <c r="H117" i="3"/>
  <c r="Y116" i="3"/>
  <c r="X116" i="3"/>
  <c r="W116" i="3"/>
  <c r="V116" i="3"/>
  <c r="U116" i="3"/>
  <c r="T116" i="3"/>
  <c r="S116" i="3"/>
  <c r="R116" i="3"/>
  <c r="Q116" i="3"/>
  <c r="P116" i="3"/>
  <c r="O116" i="3"/>
  <c r="H116" i="3"/>
  <c r="Y115" i="3"/>
  <c r="X115" i="3"/>
  <c r="W115" i="3"/>
  <c r="V115" i="3"/>
  <c r="U115" i="3"/>
  <c r="T115" i="3"/>
  <c r="S115" i="3"/>
  <c r="R115" i="3"/>
  <c r="Q115" i="3"/>
  <c r="P115" i="3"/>
  <c r="O115" i="3"/>
  <c r="H115" i="3"/>
  <c r="M114" i="3"/>
  <c r="I114" i="3"/>
  <c r="J114" i="3" s="1"/>
  <c r="M113" i="3"/>
  <c r="I113" i="3"/>
  <c r="J113" i="3" s="1"/>
  <c r="M112" i="3"/>
  <c r="I112" i="3"/>
  <c r="J112" i="3" s="1"/>
  <c r="K112" i="3" s="1"/>
  <c r="M111" i="3"/>
  <c r="I111" i="3"/>
  <c r="M110" i="3"/>
  <c r="I110" i="3"/>
  <c r="J110" i="3" s="1"/>
  <c r="M107" i="3"/>
  <c r="I107" i="3"/>
  <c r="M106" i="3"/>
  <c r="I106" i="3"/>
  <c r="J106" i="3" s="1"/>
  <c r="M105" i="3"/>
  <c r="I105" i="3"/>
  <c r="J105" i="3" s="1"/>
  <c r="K105" i="3" s="1"/>
  <c r="L105" i="3" s="1"/>
  <c r="M104" i="3"/>
  <c r="I104" i="3"/>
  <c r="I103" i="3"/>
  <c r="J103" i="3" s="1"/>
  <c r="Y102" i="3"/>
  <c r="X102" i="3"/>
  <c r="W102" i="3"/>
  <c r="V102" i="3"/>
  <c r="U102" i="3"/>
  <c r="T102" i="3"/>
  <c r="S102" i="3"/>
  <c r="R102" i="3"/>
  <c r="Q102" i="3"/>
  <c r="P102" i="3"/>
  <c r="O102" i="3"/>
  <c r="H102" i="3"/>
  <c r="M101" i="3"/>
  <c r="I101" i="3"/>
  <c r="J101" i="3" s="1"/>
  <c r="M99" i="3"/>
  <c r="I99" i="3"/>
  <c r="J99" i="3" s="1"/>
  <c r="M98" i="3"/>
  <c r="I98" i="3"/>
  <c r="M97" i="3"/>
  <c r="I97" i="3"/>
  <c r="J97" i="3" s="1"/>
  <c r="M94" i="3"/>
  <c r="I94" i="3"/>
  <c r="J94" i="3" s="1"/>
  <c r="K94" i="3" s="1"/>
  <c r="M93" i="3"/>
  <c r="I93" i="3"/>
  <c r="J93" i="3" s="1"/>
  <c r="M92" i="3"/>
  <c r="I92" i="3"/>
  <c r="J92" i="3" s="1"/>
  <c r="M91" i="3"/>
  <c r="I91" i="3"/>
  <c r="I90" i="3"/>
  <c r="Y89" i="3"/>
  <c r="X89" i="3"/>
  <c r="W89" i="3"/>
  <c r="V89" i="3"/>
  <c r="U89" i="3"/>
  <c r="T89" i="3"/>
  <c r="S89" i="3"/>
  <c r="R89" i="3"/>
  <c r="Q89" i="3"/>
  <c r="P89" i="3"/>
  <c r="O89" i="3"/>
  <c r="H89" i="3"/>
  <c r="M88" i="3"/>
  <c r="I88" i="3"/>
  <c r="J88" i="3" s="1"/>
  <c r="M87" i="3"/>
  <c r="I87" i="3"/>
  <c r="J87" i="3" s="1"/>
  <c r="K87" i="3" s="1"/>
  <c r="L87" i="3" s="1"/>
  <c r="M86" i="3"/>
  <c r="I86" i="3"/>
  <c r="M85" i="3"/>
  <c r="I85" i="3"/>
  <c r="M84" i="3"/>
  <c r="I84" i="3"/>
  <c r="J84" i="3" s="1"/>
  <c r="M83" i="3"/>
  <c r="I83" i="3"/>
  <c r="M80" i="3"/>
  <c r="I80" i="3"/>
  <c r="J80" i="3" s="1"/>
  <c r="M79" i="3"/>
  <c r="I79" i="3"/>
  <c r="J79" i="3" s="1"/>
  <c r="M78" i="3"/>
  <c r="I78" i="3"/>
  <c r="J78" i="3" s="1"/>
  <c r="K78" i="3" s="1"/>
  <c r="I77" i="3"/>
  <c r="I118" i="3" s="1"/>
  <c r="Y76" i="3"/>
  <c r="X76" i="3"/>
  <c r="W76" i="3"/>
  <c r="V76" i="3"/>
  <c r="U76" i="3"/>
  <c r="T76" i="3"/>
  <c r="S76" i="3"/>
  <c r="R76" i="3"/>
  <c r="Q76" i="3"/>
  <c r="P76" i="3"/>
  <c r="O76" i="3"/>
  <c r="H76" i="3"/>
  <c r="M75" i="3"/>
  <c r="I75" i="3"/>
  <c r="J75" i="3" s="1"/>
  <c r="M74" i="3"/>
  <c r="I74" i="3"/>
  <c r="J74" i="3" s="1"/>
  <c r="M73" i="3"/>
  <c r="I73" i="3"/>
  <c r="M70" i="3"/>
  <c r="I70" i="3"/>
  <c r="J70" i="3" s="1"/>
  <c r="M69" i="3"/>
  <c r="I69" i="3"/>
  <c r="J69" i="3" s="1"/>
  <c r="K69" i="3" s="1"/>
  <c r="L69" i="3" s="1"/>
  <c r="M68" i="3"/>
  <c r="I68" i="3"/>
  <c r="M67" i="3"/>
  <c r="I67" i="3"/>
  <c r="M66" i="3"/>
  <c r="I66" i="3"/>
  <c r="J66" i="3" s="1"/>
  <c r="M65" i="3"/>
  <c r="I65" i="3"/>
  <c r="I64" i="3"/>
  <c r="Y63" i="3"/>
  <c r="X63" i="3"/>
  <c r="W63" i="3"/>
  <c r="V63" i="3"/>
  <c r="U63" i="3"/>
  <c r="T63" i="3"/>
  <c r="S63" i="3"/>
  <c r="R63" i="3"/>
  <c r="Q63" i="3"/>
  <c r="P63" i="3"/>
  <c r="O63" i="3"/>
  <c r="H63" i="3"/>
  <c r="M62" i="3"/>
  <c r="I62" i="3"/>
  <c r="J62" i="3" s="1"/>
  <c r="M61" i="3"/>
  <c r="I61" i="3"/>
  <c r="J61" i="3" s="1"/>
  <c r="M60" i="3"/>
  <c r="I60" i="3"/>
  <c r="J60" i="3" s="1"/>
  <c r="K60" i="3" s="1"/>
  <c r="M57" i="3"/>
  <c r="I57" i="3"/>
  <c r="J57" i="3" s="1"/>
  <c r="M56" i="3"/>
  <c r="I56" i="3"/>
  <c r="J56" i="3" s="1"/>
  <c r="M55" i="3"/>
  <c r="I55" i="3"/>
  <c r="M54" i="3"/>
  <c r="I54" i="3"/>
  <c r="J54" i="3" s="1"/>
  <c r="M53" i="3"/>
  <c r="I53" i="3"/>
  <c r="J53" i="3" s="1"/>
  <c r="M52" i="3"/>
  <c r="I52" i="3"/>
  <c r="I51" i="3"/>
  <c r="Y50" i="3"/>
  <c r="X50" i="3"/>
  <c r="W50" i="3"/>
  <c r="V50" i="3"/>
  <c r="U50" i="3"/>
  <c r="T50" i="3"/>
  <c r="S50" i="3"/>
  <c r="R50" i="3"/>
  <c r="Q50" i="3"/>
  <c r="P50" i="3"/>
  <c r="O50" i="3"/>
  <c r="H50" i="3"/>
  <c r="M49" i="3"/>
  <c r="I49" i="3"/>
  <c r="J49" i="3" s="1"/>
  <c r="K49" i="3" s="1"/>
  <c r="M48" i="3"/>
  <c r="I48" i="3"/>
  <c r="J48" i="3" s="1"/>
  <c r="M47" i="3"/>
  <c r="I47" i="3"/>
  <c r="M46" i="3"/>
  <c r="I46" i="3"/>
  <c r="J46" i="3" s="1"/>
  <c r="M43" i="3"/>
  <c r="I43" i="3"/>
  <c r="J43" i="3" s="1"/>
  <c r="M42" i="3"/>
  <c r="I42" i="3"/>
  <c r="M41" i="3"/>
  <c r="I41" i="3"/>
  <c r="M40" i="3"/>
  <c r="I40" i="3"/>
  <c r="J40" i="3" s="1"/>
  <c r="M39" i="3"/>
  <c r="I39" i="3"/>
  <c r="I38" i="3"/>
  <c r="Y37" i="3"/>
  <c r="X37" i="3"/>
  <c r="W37" i="3"/>
  <c r="V37" i="3"/>
  <c r="U37" i="3"/>
  <c r="T37" i="3"/>
  <c r="S37" i="3"/>
  <c r="R37" i="3"/>
  <c r="Q37" i="3"/>
  <c r="P37" i="3"/>
  <c r="O37" i="3"/>
  <c r="H37" i="3"/>
  <c r="F120" i="4"/>
  <c r="Y118" i="4"/>
  <c r="X118" i="4"/>
  <c r="W118" i="4"/>
  <c r="V118" i="4"/>
  <c r="U118" i="4"/>
  <c r="T118" i="4"/>
  <c r="S118" i="4"/>
  <c r="R118" i="4"/>
  <c r="Q118" i="4"/>
  <c r="P118" i="4"/>
  <c r="O118" i="4"/>
  <c r="H118" i="4"/>
  <c r="Y117" i="4"/>
  <c r="X117" i="4"/>
  <c r="W117" i="4"/>
  <c r="V117" i="4"/>
  <c r="U117" i="4"/>
  <c r="T117" i="4"/>
  <c r="S117" i="4"/>
  <c r="R117" i="4"/>
  <c r="Q117" i="4"/>
  <c r="P117" i="4"/>
  <c r="O117" i="4"/>
  <c r="H117" i="4"/>
  <c r="Y116" i="4"/>
  <c r="X116" i="4"/>
  <c r="W116" i="4"/>
  <c r="V116" i="4"/>
  <c r="U116" i="4"/>
  <c r="T116" i="4"/>
  <c r="S116" i="4"/>
  <c r="R116" i="4"/>
  <c r="Q116" i="4"/>
  <c r="P116" i="4"/>
  <c r="O116" i="4"/>
  <c r="H116" i="4"/>
  <c r="Y115" i="4"/>
  <c r="X115" i="4"/>
  <c r="W115" i="4"/>
  <c r="V115" i="4"/>
  <c r="U115" i="4"/>
  <c r="T115" i="4"/>
  <c r="S115" i="4"/>
  <c r="R115" i="4"/>
  <c r="Q115" i="4"/>
  <c r="P115" i="4"/>
  <c r="O115" i="4"/>
  <c r="H115" i="4"/>
  <c r="M114" i="4"/>
  <c r="I114" i="4"/>
  <c r="J114" i="4" s="1"/>
  <c r="K114" i="4" s="1"/>
  <c r="M113" i="4"/>
  <c r="I113" i="4"/>
  <c r="J113" i="4" s="1"/>
  <c r="M112" i="4"/>
  <c r="I112" i="4"/>
  <c r="M111" i="4"/>
  <c r="I111" i="4"/>
  <c r="J111" i="4" s="1"/>
  <c r="M110" i="4"/>
  <c r="I110" i="4"/>
  <c r="J110" i="4" s="1"/>
  <c r="M107" i="4"/>
  <c r="I107" i="4"/>
  <c r="M106" i="4"/>
  <c r="I106" i="4"/>
  <c r="M105" i="4"/>
  <c r="I105" i="4"/>
  <c r="J105" i="4" s="1"/>
  <c r="M104" i="4"/>
  <c r="I104" i="4"/>
  <c r="I103" i="4"/>
  <c r="Y102" i="4"/>
  <c r="X102" i="4"/>
  <c r="W102" i="4"/>
  <c r="V102" i="4"/>
  <c r="U102" i="4"/>
  <c r="T102" i="4"/>
  <c r="S102" i="4"/>
  <c r="R102" i="4"/>
  <c r="Q102" i="4"/>
  <c r="P102" i="4"/>
  <c r="O102" i="4"/>
  <c r="H102" i="4"/>
  <c r="M101" i="4"/>
  <c r="I101" i="4"/>
  <c r="J101" i="4" s="1"/>
  <c r="M99" i="4"/>
  <c r="I99" i="4"/>
  <c r="J99" i="4" s="1"/>
  <c r="M98" i="4"/>
  <c r="I98" i="4"/>
  <c r="M97" i="4"/>
  <c r="I97" i="4"/>
  <c r="J97" i="4" s="1"/>
  <c r="K97" i="4" s="1"/>
  <c r="M94" i="4"/>
  <c r="I94" i="4"/>
  <c r="M93" i="4"/>
  <c r="I93" i="4"/>
  <c r="J93" i="4" s="1"/>
  <c r="M92" i="4"/>
  <c r="I92" i="4"/>
  <c r="J92" i="4" s="1"/>
  <c r="M91" i="4"/>
  <c r="I91" i="4"/>
  <c r="I90" i="4"/>
  <c r="Y89" i="4"/>
  <c r="X89" i="4"/>
  <c r="W89" i="4"/>
  <c r="V89" i="4"/>
  <c r="U89" i="4"/>
  <c r="T89" i="4"/>
  <c r="S89" i="4"/>
  <c r="R89" i="4"/>
  <c r="Q89" i="4"/>
  <c r="P89" i="4"/>
  <c r="O89" i="4"/>
  <c r="H89" i="4"/>
  <c r="M88" i="4"/>
  <c r="I88" i="4"/>
  <c r="J88" i="4" s="1"/>
  <c r="M87" i="4"/>
  <c r="I87" i="4"/>
  <c r="J87" i="4" s="1"/>
  <c r="M86" i="4"/>
  <c r="I86" i="4"/>
  <c r="M85" i="4"/>
  <c r="I85" i="4"/>
  <c r="J85" i="4" s="1"/>
  <c r="M84" i="4"/>
  <c r="I84" i="4"/>
  <c r="J84" i="4" s="1"/>
  <c r="M83" i="4"/>
  <c r="I83" i="4"/>
  <c r="M80" i="4"/>
  <c r="I80" i="4"/>
  <c r="J80" i="4" s="1"/>
  <c r="M79" i="4"/>
  <c r="I79" i="4"/>
  <c r="J79" i="4" s="1"/>
  <c r="M78" i="4"/>
  <c r="I78" i="4"/>
  <c r="I77" i="4"/>
  <c r="I118" i="4" s="1"/>
  <c r="Y76" i="4"/>
  <c r="X76" i="4"/>
  <c r="W76" i="4"/>
  <c r="V76" i="4"/>
  <c r="U76" i="4"/>
  <c r="T76" i="4"/>
  <c r="S76" i="4"/>
  <c r="R76" i="4"/>
  <c r="Q76" i="4"/>
  <c r="P76" i="4"/>
  <c r="O76" i="4"/>
  <c r="H76" i="4"/>
  <c r="M75" i="4"/>
  <c r="I75" i="4"/>
  <c r="J75" i="4" s="1"/>
  <c r="M74" i="4"/>
  <c r="I74" i="4"/>
  <c r="J74" i="4" s="1"/>
  <c r="M73" i="4"/>
  <c r="I73" i="4"/>
  <c r="M70" i="4"/>
  <c r="I70" i="4"/>
  <c r="J70" i="4" s="1"/>
  <c r="K70" i="4" s="1"/>
  <c r="M69" i="4"/>
  <c r="I69" i="4"/>
  <c r="J69" i="4" s="1"/>
  <c r="M68" i="4"/>
  <c r="I68" i="4"/>
  <c r="M67" i="4"/>
  <c r="I67" i="4"/>
  <c r="J67" i="4" s="1"/>
  <c r="M66" i="4"/>
  <c r="I66" i="4"/>
  <c r="J66" i="4" s="1"/>
  <c r="M65" i="4"/>
  <c r="I65" i="4"/>
  <c r="I64" i="4"/>
  <c r="Y63" i="4"/>
  <c r="X63" i="4"/>
  <c r="W63" i="4"/>
  <c r="V63" i="4"/>
  <c r="U63" i="4"/>
  <c r="T63" i="4"/>
  <c r="S63" i="4"/>
  <c r="R63" i="4"/>
  <c r="Q63" i="4"/>
  <c r="P63" i="4"/>
  <c r="O63" i="4"/>
  <c r="H63" i="4"/>
  <c r="M62" i="4"/>
  <c r="I62" i="4"/>
  <c r="J62" i="4" s="1"/>
  <c r="K62" i="4" s="1"/>
  <c r="M61" i="4"/>
  <c r="I61" i="4"/>
  <c r="J61" i="4" s="1"/>
  <c r="M60" i="4"/>
  <c r="I60" i="4"/>
  <c r="M57" i="4"/>
  <c r="I57" i="4"/>
  <c r="J57" i="4" s="1"/>
  <c r="M56" i="4"/>
  <c r="I56" i="4"/>
  <c r="J56" i="4" s="1"/>
  <c r="M55" i="4"/>
  <c r="I55" i="4"/>
  <c r="M54" i="4"/>
  <c r="I54" i="4"/>
  <c r="J54" i="4" s="1"/>
  <c r="M53" i="4"/>
  <c r="I53" i="4"/>
  <c r="J53" i="4" s="1"/>
  <c r="M52" i="4"/>
  <c r="I52" i="4"/>
  <c r="I51" i="4"/>
  <c r="Y50" i="4"/>
  <c r="X50" i="4"/>
  <c r="W50" i="4"/>
  <c r="V50" i="4"/>
  <c r="U50" i="4"/>
  <c r="T50" i="4"/>
  <c r="S50" i="4"/>
  <c r="R50" i="4"/>
  <c r="Q50" i="4"/>
  <c r="P50" i="4"/>
  <c r="O50" i="4"/>
  <c r="H50" i="4"/>
  <c r="M49" i="4"/>
  <c r="I49" i="4"/>
  <c r="J49" i="4" s="1"/>
  <c r="M48" i="4"/>
  <c r="I48" i="4"/>
  <c r="J48" i="4" s="1"/>
  <c r="M47" i="4"/>
  <c r="I47" i="4"/>
  <c r="M46" i="4"/>
  <c r="I46" i="4"/>
  <c r="J46" i="4" s="1"/>
  <c r="M43" i="4"/>
  <c r="I43" i="4"/>
  <c r="J43" i="4" s="1"/>
  <c r="M42" i="4"/>
  <c r="I42" i="4"/>
  <c r="M41" i="4"/>
  <c r="I41" i="4"/>
  <c r="J41" i="4" s="1"/>
  <c r="M40" i="4"/>
  <c r="I40" i="4"/>
  <c r="J40" i="4" s="1"/>
  <c r="M39" i="4"/>
  <c r="I39" i="4"/>
  <c r="I38" i="4"/>
  <c r="Y37" i="4"/>
  <c r="X37" i="4"/>
  <c r="W37" i="4"/>
  <c r="V37" i="4"/>
  <c r="U37" i="4"/>
  <c r="T37" i="4"/>
  <c r="S37" i="4"/>
  <c r="R37" i="4"/>
  <c r="Q37" i="4"/>
  <c r="P37" i="4"/>
  <c r="O37" i="4"/>
  <c r="H37" i="4"/>
  <c r="F120" i="5"/>
  <c r="Y118" i="5"/>
  <c r="X118" i="5"/>
  <c r="W118" i="5"/>
  <c r="V118" i="5"/>
  <c r="U118" i="5"/>
  <c r="T118" i="5"/>
  <c r="S118" i="5"/>
  <c r="R118" i="5"/>
  <c r="Q118" i="5"/>
  <c r="P118" i="5"/>
  <c r="O118" i="5"/>
  <c r="H118" i="5"/>
  <c r="Y117" i="5"/>
  <c r="X117" i="5"/>
  <c r="W117" i="5"/>
  <c r="V117" i="5"/>
  <c r="U117" i="5"/>
  <c r="T117" i="5"/>
  <c r="S117" i="5"/>
  <c r="R117" i="5"/>
  <c r="Q117" i="5"/>
  <c r="P117" i="5"/>
  <c r="O117" i="5"/>
  <c r="H117" i="5"/>
  <c r="Y116" i="5"/>
  <c r="X116" i="5"/>
  <c r="W116" i="5"/>
  <c r="V116" i="5"/>
  <c r="U116" i="5"/>
  <c r="T116" i="5"/>
  <c r="S116" i="5"/>
  <c r="R116" i="5"/>
  <c r="Q116" i="5"/>
  <c r="P116" i="5"/>
  <c r="O116" i="5"/>
  <c r="H116" i="5"/>
  <c r="Y115" i="5"/>
  <c r="X115" i="5"/>
  <c r="W115" i="5"/>
  <c r="V115" i="5"/>
  <c r="U115" i="5"/>
  <c r="T115" i="5"/>
  <c r="S115" i="5"/>
  <c r="R115" i="5"/>
  <c r="Q115" i="5"/>
  <c r="P115" i="5"/>
  <c r="O115" i="5"/>
  <c r="H115" i="5"/>
  <c r="M114" i="5"/>
  <c r="I114" i="5"/>
  <c r="M113" i="5"/>
  <c r="I113" i="5"/>
  <c r="M112" i="5"/>
  <c r="I112" i="5"/>
  <c r="J112" i="5" s="1"/>
  <c r="M111" i="5"/>
  <c r="I111" i="5"/>
  <c r="M110" i="5"/>
  <c r="I110" i="5"/>
  <c r="M107" i="5"/>
  <c r="I107" i="5"/>
  <c r="J107" i="5" s="1"/>
  <c r="M106" i="5"/>
  <c r="I106" i="5"/>
  <c r="J106" i="5" s="1"/>
  <c r="M105" i="5"/>
  <c r="I105" i="5"/>
  <c r="J105" i="5" s="1"/>
  <c r="M104" i="5"/>
  <c r="I104" i="5"/>
  <c r="I103" i="5"/>
  <c r="Y102" i="5"/>
  <c r="X102" i="5"/>
  <c r="W102" i="5"/>
  <c r="V102" i="5"/>
  <c r="U102" i="5"/>
  <c r="T102" i="5"/>
  <c r="S102" i="5"/>
  <c r="R102" i="5"/>
  <c r="Q102" i="5"/>
  <c r="P102" i="5"/>
  <c r="O102" i="5"/>
  <c r="H102" i="5"/>
  <c r="M101" i="5"/>
  <c r="I101" i="5"/>
  <c r="M99" i="5"/>
  <c r="I99" i="5"/>
  <c r="J99" i="5" s="1"/>
  <c r="M98" i="5"/>
  <c r="I98" i="5"/>
  <c r="M97" i="5"/>
  <c r="I97" i="5"/>
  <c r="M94" i="5"/>
  <c r="I94" i="5"/>
  <c r="M93" i="5"/>
  <c r="I93" i="5"/>
  <c r="J93" i="5" s="1"/>
  <c r="K93" i="5" s="1"/>
  <c r="L93" i="5" s="1"/>
  <c r="M92" i="5"/>
  <c r="I92" i="5"/>
  <c r="M91" i="5"/>
  <c r="I91" i="5"/>
  <c r="I90" i="5"/>
  <c r="J90" i="5" s="1"/>
  <c r="Y89" i="5"/>
  <c r="X89" i="5"/>
  <c r="W89" i="5"/>
  <c r="V89" i="5"/>
  <c r="U89" i="5"/>
  <c r="T89" i="5"/>
  <c r="S89" i="5"/>
  <c r="R89" i="5"/>
  <c r="Q89" i="5"/>
  <c r="P89" i="5"/>
  <c r="O89" i="5"/>
  <c r="H89" i="5"/>
  <c r="M88" i="5"/>
  <c r="I88" i="5"/>
  <c r="J88" i="5" s="1"/>
  <c r="M87" i="5"/>
  <c r="I87" i="5"/>
  <c r="J87" i="5" s="1"/>
  <c r="M86" i="5"/>
  <c r="I86" i="5"/>
  <c r="M85" i="5"/>
  <c r="I85" i="5"/>
  <c r="M84" i="5"/>
  <c r="I84" i="5"/>
  <c r="J84" i="5" s="1"/>
  <c r="M83" i="5"/>
  <c r="I83" i="5"/>
  <c r="M80" i="5"/>
  <c r="I80" i="5"/>
  <c r="M79" i="5"/>
  <c r="I79" i="5"/>
  <c r="J79" i="5" s="1"/>
  <c r="M78" i="5"/>
  <c r="I78" i="5"/>
  <c r="I77" i="5"/>
  <c r="I118" i="5" s="1"/>
  <c r="Y76" i="5"/>
  <c r="X76" i="5"/>
  <c r="W76" i="5"/>
  <c r="V76" i="5"/>
  <c r="U76" i="5"/>
  <c r="T76" i="5"/>
  <c r="S76" i="5"/>
  <c r="R76" i="5"/>
  <c r="Q76" i="5"/>
  <c r="P76" i="5"/>
  <c r="O76" i="5"/>
  <c r="H76" i="5"/>
  <c r="M75" i="5"/>
  <c r="I75" i="5"/>
  <c r="M74" i="5"/>
  <c r="I74" i="5"/>
  <c r="M73" i="5"/>
  <c r="I73" i="5"/>
  <c r="M70" i="5"/>
  <c r="I70" i="5"/>
  <c r="J70" i="5" s="1"/>
  <c r="K70" i="5" s="1"/>
  <c r="M69" i="5"/>
  <c r="I69" i="5"/>
  <c r="J69" i="5" s="1"/>
  <c r="M68" i="5"/>
  <c r="I68" i="5"/>
  <c r="M67" i="5"/>
  <c r="I67" i="5"/>
  <c r="M66" i="5"/>
  <c r="I66" i="5"/>
  <c r="J66" i="5" s="1"/>
  <c r="M65" i="5"/>
  <c r="I65" i="5"/>
  <c r="J65" i="5" s="1"/>
  <c r="I64" i="5"/>
  <c r="I117" i="5" s="1"/>
  <c r="Y63" i="5"/>
  <c r="X63" i="5"/>
  <c r="W63" i="5"/>
  <c r="V63" i="5"/>
  <c r="U63" i="5"/>
  <c r="T63" i="5"/>
  <c r="S63" i="5"/>
  <c r="R63" i="5"/>
  <c r="Q63" i="5"/>
  <c r="P63" i="5"/>
  <c r="O63" i="5"/>
  <c r="H63" i="5"/>
  <c r="M62" i="5"/>
  <c r="I62" i="5"/>
  <c r="M61" i="5"/>
  <c r="I61" i="5"/>
  <c r="J61" i="5" s="1"/>
  <c r="M60" i="5"/>
  <c r="I60" i="5"/>
  <c r="M57" i="5"/>
  <c r="I57" i="5"/>
  <c r="M56" i="5"/>
  <c r="I56" i="5"/>
  <c r="M55" i="5"/>
  <c r="I55" i="5"/>
  <c r="M54" i="5"/>
  <c r="I54" i="5"/>
  <c r="J54" i="5" s="1"/>
  <c r="K54" i="5" s="1"/>
  <c r="M53" i="5"/>
  <c r="I53" i="5"/>
  <c r="J53" i="5" s="1"/>
  <c r="M52" i="5"/>
  <c r="I52" i="5"/>
  <c r="I51" i="5"/>
  <c r="Y50" i="5"/>
  <c r="X50" i="5"/>
  <c r="W50" i="5"/>
  <c r="V50" i="5"/>
  <c r="U50" i="5"/>
  <c r="T50" i="5"/>
  <c r="S50" i="5"/>
  <c r="R50" i="5"/>
  <c r="Q50" i="5"/>
  <c r="P50" i="5"/>
  <c r="O50" i="5"/>
  <c r="H50" i="5"/>
  <c r="M49" i="5"/>
  <c r="I49" i="5"/>
  <c r="M48" i="5"/>
  <c r="I48" i="5"/>
  <c r="J48" i="5" s="1"/>
  <c r="M47" i="5"/>
  <c r="I47" i="5"/>
  <c r="M46" i="5"/>
  <c r="I46" i="5"/>
  <c r="M43" i="5"/>
  <c r="I43" i="5"/>
  <c r="J43" i="5" s="1"/>
  <c r="M42" i="5"/>
  <c r="I42" i="5"/>
  <c r="M41" i="5"/>
  <c r="I41" i="5"/>
  <c r="J41" i="5" s="1"/>
  <c r="M40" i="5"/>
  <c r="I40" i="5"/>
  <c r="J40" i="5" s="1"/>
  <c r="M39" i="5"/>
  <c r="I39" i="5"/>
  <c r="I38" i="5"/>
  <c r="Y37" i="5"/>
  <c r="X37" i="5"/>
  <c r="W37" i="5"/>
  <c r="V37" i="5"/>
  <c r="U37" i="5"/>
  <c r="T37" i="5"/>
  <c r="S37" i="5"/>
  <c r="R37" i="5"/>
  <c r="Q37" i="5"/>
  <c r="P37" i="5"/>
  <c r="O37" i="5"/>
  <c r="H37" i="5"/>
  <c r="Y118" i="1"/>
  <c r="X118" i="1"/>
  <c r="W118" i="1"/>
  <c r="V118" i="1"/>
  <c r="U118" i="1"/>
  <c r="T118" i="1"/>
  <c r="S118" i="1"/>
  <c r="R118" i="1"/>
  <c r="Q118" i="1"/>
  <c r="P118" i="1"/>
  <c r="H118" i="1"/>
  <c r="Y117" i="1"/>
  <c r="X117" i="1"/>
  <c r="W117" i="1"/>
  <c r="V117" i="1"/>
  <c r="U117" i="1"/>
  <c r="T117" i="1"/>
  <c r="S117" i="1"/>
  <c r="R117" i="1"/>
  <c r="Q117" i="1"/>
  <c r="P117" i="1"/>
  <c r="O117" i="1"/>
  <c r="H117" i="1"/>
  <c r="Y116" i="1"/>
  <c r="X116" i="1"/>
  <c r="W116" i="1"/>
  <c r="V116" i="1"/>
  <c r="U116" i="1"/>
  <c r="T116" i="1"/>
  <c r="S116" i="1"/>
  <c r="R116" i="1"/>
  <c r="Q116" i="1"/>
  <c r="P116" i="1"/>
  <c r="O116" i="1"/>
  <c r="H116" i="1"/>
  <c r="Y115" i="1"/>
  <c r="X115" i="1"/>
  <c r="W115" i="1"/>
  <c r="V115" i="1"/>
  <c r="U115" i="1"/>
  <c r="T115" i="1"/>
  <c r="S115" i="1"/>
  <c r="R115" i="1"/>
  <c r="Q115" i="1"/>
  <c r="P115" i="1"/>
  <c r="O115" i="1"/>
  <c r="H115" i="1"/>
  <c r="V119" i="2" l="1"/>
  <c r="X119" i="3"/>
  <c r="I116" i="5"/>
  <c r="I115" i="5"/>
  <c r="S119" i="3"/>
  <c r="S120" i="3" s="1"/>
  <c r="S121" i="3" s="1"/>
  <c r="N31" i="3" s="1"/>
  <c r="N32" i="3" s="1"/>
  <c r="P119" i="2"/>
  <c r="P120" i="2" s="1"/>
  <c r="P121" i="2" s="1"/>
  <c r="K31" i="2" s="1"/>
  <c r="K75" i="3"/>
  <c r="L75" i="3" s="1"/>
  <c r="J41" i="3"/>
  <c r="K41" i="3" s="1"/>
  <c r="L41" i="3" s="1"/>
  <c r="L112" i="3"/>
  <c r="I116" i="3"/>
  <c r="J113" i="5"/>
  <c r="K113" i="5" s="1"/>
  <c r="Q119" i="3"/>
  <c r="Q120" i="3" s="1"/>
  <c r="Q121" i="3" s="1"/>
  <c r="L31" i="3" s="1"/>
  <c r="L32" i="3" s="1"/>
  <c r="J85" i="3"/>
  <c r="K85" i="3" s="1"/>
  <c r="L85" i="3" s="1"/>
  <c r="X119" i="4"/>
  <c r="T119" i="2"/>
  <c r="T120" i="2" s="1"/>
  <c r="T121" i="2" s="1"/>
  <c r="O31" i="2" s="1"/>
  <c r="O32" i="2" s="1"/>
  <c r="R119" i="2"/>
  <c r="R120" i="2" s="1"/>
  <c r="R121" i="2" s="1"/>
  <c r="M31" i="2" s="1"/>
  <c r="M32" i="2" s="1"/>
  <c r="Y119" i="4"/>
  <c r="Y120" i="4" s="1"/>
  <c r="Y121" i="4" s="1"/>
  <c r="T31" i="4" s="1"/>
  <c r="T32" i="4" s="1"/>
  <c r="K93" i="3"/>
  <c r="L93" i="3" s="1"/>
  <c r="U119" i="2"/>
  <c r="U120" i="2" s="1"/>
  <c r="U121" i="2" s="1"/>
  <c r="P31" i="2" s="1"/>
  <c r="P32" i="2" s="1"/>
  <c r="H119" i="4"/>
  <c r="H121" i="4" s="1"/>
  <c r="K54" i="4"/>
  <c r="L54" i="4" s="1"/>
  <c r="O119" i="4"/>
  <c r="O120" i="4" s="1"/>
  <c r="O121" i="4" s="1"/>
  <c r="J31" i="4" s="1"/>
  <c r="J32" i="4" s="1"/>
  <c r="P119" i="4"/>
  <c r="P120" i="4" s="1"/>
  <c r="P121" i="4" s="1"/>
  <c r="K31" i="4" s="1"/>
  <c r="K41" i="5"/>
  <c r="L41" i="5" s="1"/>
  <c r="Q119" i="4"/>
  <c r="Q120" i="4" s="1"/>
  <c r="Y119" i="3"/>
  <c r="Y120" i="3" s="1"/>
  <c r="J67" i="2"/>
  <c r="K67" i="2" s="1"/>
  <c r="L67" i="2" s="1"/>
  <c r="H119" i="3"/>
  <c r="H121" i="3" s="1"/>
  <c r="H119" i="2"/>
  <c r="H121" i="2" s="1"/>
  <c r="J57" i="5"/>
  <c r="K57" i="5" s="1"/>
  <c r="L57" i="5" s="1"/>
  <c r="K80" i="4"/>
  <c r="L80" i="4" s="1"/>
  <c r="O119" i="3"/>
  <c r="O120" i="3" s="1"/>
  <c r="O121" i="3" s="1"/>
  <c r="J31" i="3" s="1"/>
  <c r="J32" i="3" s="1"/>
  <c r="K40" i="5"/>
  <c r="L40" i="5" s="1"/>
  <c r="L53" i="3"/>
  <c r="J114" i="5"/>
  <c r="K114" i="5" s="1"/>
  <c r="L114" i="5" s="1"/>
  <c r="U119" i="4"/>
  <c r="J70" i="2"/>
  <c r="K70" i="2" s="1"/>
  <c r="L70" i="2" s="1"/>
  <c r="J47" i="5"/>
  <c r="K47" i="5" s="1"/>
  <c r="L47" i="5" s="1"/>
  <c r="V119" i="4"/>
  <c r="V120" i="4" s="1"/>
  <c r="V121" i="4" s="1"/>
  <c r="Q31" i="4" s="1"/>
  <c r="Q32" i="4" s="1"/>
  <c r="W119" i="3"/>
  <c r="W120" i="3" s="1"/>
  <c r="W121" i="3" s="1"/>
  <c r="R31" i="3" s="1"/>
  <c r="R32" i="3" s="1"/>
  <c r="S119" i="2"/>
  <c r="S120" i="2" s="1"/>
  <c r="S121" i="2" s="1"/>
  <c r="N31" i="2" s="1"/>
  <c r="N32" i="2" s="1"/>
  <c r="J92" i="5"/>
  <c r="K92" i="5" s="1"/>
  <c r="K88" i="4"/>
  <c r="L88" i="4" s="1"/>
  <c r="J42" i="3"/>
  <c r="K42" i="3" s="1"/>
  <c r="L94" i="3"/>
  <c r="J74" i="5"/>
  <c r="K54" i="2"/>
  <c r="L54" i="2" s="1"/>
  <c r="L70" i="4"/>
  <c r="K53" i="3"/>
  <c r="K57" i="3"/>
  <c r="L57" i="3" s="1"/>
  <c r="K101" i="3"/>
  <c r="L101" i="3" s="1"/>
  <c r="J38" i="5"/>
  <c r="J115" i="5" s="1"/>
  <c r="J98" i="5"/>
  <c r="K98" i="5" s="1"/>
  <c r="L98" i="5" s="1"/>
  <c r="P119" i="3"/>
  <c r="P120" i="3" s="1"/>
  <c r="J56" i="5"/>
  <c r="K46" i="4"/>
  <c r="L46" i="4" s="1"/>
  <c r="Q119" i="5"/>
  <c r="Q120" i="5" s="1"/>
  <c r="Q121" i="5" s="1"/>
  <c r="L31" i="5" s="1"/>
  <c r="L32" i="5" s="1"/>
  <c r="J75" i="5"/>
  <c r="K75" i="5" s="1"/>
  <c r="L75" i="5" s="1"/>
  <c r="J83" i="5"/>
  <c r="K83" i="5" s="1"/>
  <c r="L83" i="5" s="1"/>
  <c r="R119" i="3"/>
  <c r="R120" i="3" s="1"/>
  <c r="R121" i="3" s="1"/>
  <c r="M31" i="3" s="1"/>
  <c r="M32" i="3" s="1"/>
  <c r="T119" i="3"/>
  <c r="T120" i="3" s="1"/>
  <c r="T121" i="3" s="1"/>
  <c r="O31" i="3" s="1"/>
  <c r="O32" i="3" s="1"/>
  <c r="J67" i="3"/>
  <c r="K67" i="3" s="1"/>
  <c r="L67" i="3" s="1"/>
  <c r="O119" i="2"/>
  <c r="O120" i="2" s="1"/>
  <c r="O121" i="2" s="1"/>
  <c r="J31" i="2" s="1"/>
  <c r="J32" i="2" s="1"/>
  <c r="K65" i="5"/>
  <c r="L65" i="5" s="1"/>
  <c r="K90" i="5"/>
  <c r="L90" i="5" s="1"/>
  <c r="J106" i="4"/>
  <c r="K106" i="4" s="1"/>
  <c r="J51" i="3"/>
  <c r="X120" i="3"/>
  <c r="X121" i="3" s="1"/>
  <c r="S31" i="3" s="1"/>
  <c r="S32" i="3" s="1"/>
  <c r="X120" i="4"/>
  <c r="X121" i="4" s="1"/>
  <c r="S31" i="4" s="1"/>
  <c r="S32" i="4" s="1"/>
  <c r="W119" i="2"/>
  <c r="W120" i="2" s="1"/>
  <c r="V120" i="2"/>
  <c r="V121" i="2" s="1"/>
  <c r="Q31" i="2" s="1"/>
  <c r="Q32" i="2" s="1"/>
  <c r="K106" i="5"/>
  <c r="L106" i="5" s="1"/>
  <c r="K88" i="5"/>
  <c r="L88" i="5" s="1"/>
  <c r="R119" i="5"/>
  <c r="K43" i="5"/>
  <c r="L43" i="5" s="1"/>
  <c r="I50" i="5"/>
  <c r="J52" i="5"/>
  <c r="L54" i="5"/>
  <c r="K61" i="5"/>
  <c r="L61" i="5" s="1"/>
  <c r="J68" i="5"/>
  <c r="K68" i="5" s="1"/>
  <c r="L68" i="5" s="1"/>
  <c r="L70" i="5"/>
  <c r="J77" i="5"/>
  <c r="K79" i="5"/>
  <c r="L79" i="5" s="1"/>
  <c r="J86" i="5"/>
  <c r="K86" i="5" s="1"/>
  <c r="L86" i="5" s="1"/>
  <c r="I102" i="5"/>
  <c r="J104" i="5"/>
  <c r="K104" i="5" s="1"/>
  <c r="K49" i="4"/>
  <c r="L49" i="4" s="1"/>
  <c r="K67" i="4"/>
  <c r="L67" i="4" s="1"/>
  <c r="K54" i="3"/>
  <c r="L54" i="3" s="1"/>
  <c r="L60" i="3"/>
  <c r="L78" i="3"/>
  <c r="I89" i="3"/>
  <c r="J90" i="3"/>
  <c r="K90" i="3" s="1"/>
  <c r="S119" i="5"/>
  <c r="K114" i="3"/>
  <c r="L114" i="3" s="1"/>
  <c r="J68" i="2"/>
  <c r="K68" i="2" s="1"/>
  <c r="L68" i="2" s="1"/>
  <c r="K93" i="2"/>
  <c r="L93" i="2" s="1"/>
  <c r="T119" i="5"/>
  <c r="K111" i="4"/>
  <c r="L111" i="4" s="1"/>
  <c r="K46" i="3"/>
  <c r="L46" i="3" s="1"/>
  <c r="Q119" i="2"/>
  <c r="J52" i="2"/>
  <c r="K52" i="2" s="1"/>
  <c r="L52" i="2" s="1"/>
  <c r="I37" i="5"/>
  <c r="U119" i="5"/>
  <c r="J39" i="5"/>
  <c r="K39" i="5" s="1"/>
  <c r="K48" i="5"/>
  <c r="L48" i="5" s="1"/>
  <c r="J55" i="5"/>
  <c r="J64" i="5"/>
  <c r="K64" i="5" s="1"/>
  <c r="K66" i="5"/>
  <c r="L66" i="5" s="1"/>
  <c r="J73" i="5"/>
  <c r="K73" i="5" s="1"/>
  <c r="K84" i="5"/>
  <c r="L84" i="5" s="1"/>
  <c r="I89" i="5"/>
  <c r="J91" i="5"/>
  <c r="K99" i="5"/>
  <c r="L99" i="5" s="1"/>
  <c r="K107" i="5"/>
  <c r="L107" i="5" s="1"/>
  <c r="K112" i="5"/>
  <c r="L112" i="5" s="1"/>
  <c r="I116" i="4"/>
  <c r="I50" i="4"/>
  <c r="J51" i="4"/>
  <c r="K51" i="4" s="1"/>
  <c r="K103" i="3"/>
  <c r="K75" i="2"/>
  <c r="L75" i="2" s="1"/>
  <c r="V119" i="5"/>
  <c r="J46" i="5"/>
  <c r="K46" i="5" s="1"/>
  <c r="J62" i="5"/>
  <c r="K62" i="5" s="1"/>
  <c r="J80" i="5"/>
  <c r="K80" i="5" s="1"/>
  <c r="L80" i="5" s="1"/>
  <c r="J97" i="5"/>
  <c r="K97" i="5" s="1"/>
  <c r="K93" i="4"/>
  <c r="L93" i="4" s="1"/>
  <c r="J112" i="4"/>
  <c r="K112" i="4" s="1"/>
  <c r="L112" i="4" s="1"/>
  <c r="J47" i="3"/>
  <c r="K97" i="3"/>
  <c r="L97" i="3" s="1"/>
  <c r="K57" i="2"/>
  <c r="L57" i="2" s="1"/>
  <c r="K101" i="2"/>
  <c r="L101" i="2" s="1"/>
  <c r="K75" i="4"/>
  <c r="L75" i="4" s="1"/>
  <c r="K62" i="3"/>
  <c r="L62" i="3" s="1"/>
  <c r="K80" i="3"/>
  <c r="L80" i="3" s="1"/>
  <c r="I37" i="4"/>
  <c r="J42" i="4"/>
  <c r="X119" i="5"/>
  <c r="J42" i="5"/>
  <c r="K42" i="5" s="1"/>
  <c r="J51" i="5"/>
  <c r="K51" i="5" s="1"/>
  <c r="L51" i="5" s="1"/>
  <c r="K53" i="5"/>
  <c r="L53" i="5" s="1"/>
  <c r="J60" i="5"/>
  <c r="K60" i="5" s="1"/>
  <c r="K69" i="5"/>
  <c r="L69" i="5" s="1"/>
  <c r="I76" i="5"/>
  <c r="J78" i="5"/>
  <c r="K87" i="5"/>
  <c r="L87" i="5" s="1"/>
  <c r="J94" i="5"/>
  <c r="K94" i="5" s="1"/>
  <c r="J103" i="5"/>
  <c r="K105" i="5"/>
  <c r="L105" i="5" s="1"/>
  <c r="J94" i="4"/>
  <c r="J98" i="3"/>
  <c r="K98" i="3" s="1"/>
  <c r="L98" i="3" s="1"/>
  <c r="K41" i="2"/>
  <c r="L41" i="2" s="1"/>
  <c r="I76" i="2"/>
  <c r="I118" i="2"/>
  <c r="J77" i="2"/>
  <c r="K77" i="2" s="1"/>
  <c r="W119" i="5"/>
  <c r="Y119" i="5"/>
  <c r="J49" i="5"/>
  <c r="J67" i="5"/>
  <c r="K67" i="5" s="1"/>
  <c r="J85" i="5"/>
  <c r="J101" i="5"/>
  <c r="J110" i="5"/>
  <c r="K57" i="4"/>
  <c r="L57" i="4" s="1"/>
  <c r="K101" i="4"/>
  <c r="L101" i="4" s="1"/>
  <c r="J83" i="3"/>
  <c r="J104" i="2"/>
  <c r="K104" i="2" s="1"/>
  <c r="L104" i="2" s="1"/>
  <c r="I102" i="2"/>
  <c r="K111" i="2"/>
  <c r="L111" i="2" s="1"/>
  <c r="W119" i="4"/>
  <c r="H119" i="5"/>
  <c r="H121" i="5" s="1"/>
  <c r="T119" i="4"/>
  <c r="J78" i="4"/>
  <c r="K78" i="4" s="1"/>
  <c r="L78" i="4" s="1"/>
  <c r="I37" i="3"/>
  <c r="I115" i="3"/>
  <c r="J38" i="3"/>
  <c r="J65" i="3"/>
  <c r="K65" i="3" s="1"/>
  <c r="L65" i="3" s="1"/>
  <c r="K85" i="2"/>
  <c r="L85" i="2" s="1"/>
  <c r="O119" i="5"/>
  <c r="I63" i="5"/>
  <c r="K41" i="4"/>
  <c r="L41" i="4" s="1"/>
  <c r="J60" i="4"/>
  <c r="K85" i="4"/>
  <c r="L85" i="4" s="1"/>
  <c r="L49" i="3"/>
  <c r="K88" i="3"/>
  <c r="L88" i="3" s="1"/>
  <c r="P119" i="5"/>
  <c r="K38" i="5"/>
  <c r="J111" i="5"/>
  <c r="K111" i="5" s="1"/>
  <c r="I102" i="4"/>
  <c r="J103" i="4"/>
  <c r="K70" i="3"/>
  <c r="L70" i="3" s="1"/>
  <c r="K106" i="3"/>
  <c r="L106" i="3" s="1"/>
  <c r="J86" i="2"/>
  <c r="K86" i="2" s="1"/>
  <c r="K53" i="4"/>
  <c r="L53" i="4" s="1"/>
  <c r="L62" i="4"/>
  <c r="K69" i="4"/>
  <c r="L69" i="4" s="1"/>
  <c r="I76" i="4"/>
  <c r="K87" i="4"/>
  <c r="L87" i="4" s="1"/>
  <c r="L97" i="4"/>
  <c r="K105" i="4"/>
  <c r="L105" i="4" s="1"/>
  <c r="L114" i="4"/>
  <c r="R119" i="4"/>
  <c r="K40" i="3"/>
  <c r="L40" i="3" s="1"/>
  <c r="K56" i="3"/>
  <c r="L56" i="3" s="1"/>
  <c r="I63" i="3"/>
  <c r="K74" i="3"/>
  <c r="L74" i="3" s="1"/>
  <c r="K92" i="3"/>
  <c r="L92" i="3" s="1"/>
  <c r="K110" i="3"/>
  <c r="L110" i="3" s="1"/>
  <c r="I117" i="3"/>
  <c r="U119" i="3"/>
  <c r="K43" i="2"/>
  <c r="L43" i="2" s="1"/>
  <c r="I50" i="2"/>
  <c r="K61" i="2"/>
  <c r="L61" i="2" s="1"/>
  <c r="K79" i="2"/>
  <c r="L79" i="2" s="1"/>
  <c r="L88" i="2"/>
  <c r="L106" i="2"/>
  <c r="K113" i="2"/>
  <c r="L113" i="2" s="1"/>
  <c r="X119" i="2"/>
  <c r="S119" i="4"/>
  <c r="V119" i="3"/>
  <c r="Y119" i="2"/>
  <c r="J38" i="4"/>
  <c r="K38" i="4" s="1"/>
  <c r="K40" i="4"/>
  <c r="L40" i="4" s="1"/>
  <c r="J47" i="4"/>
  <c r="K47" i="4" s="1"/>
  <c r="K56" i="4"/>
  <c r="L56" i="4" s="1"/>
  <c r="I63" i="4"/>
  <c r="J65" i="4"/>
  <c r="K74" i="4"/>
  <c r="L74" i="4" s="1"/>
  <c r="J83" i="4"/>
  <c r="K83" i="4" s="1"/>
  <c r="J90" i="4"/>
  <c r="K90" i="4" s="1"/>
  <c r="K92" i="4"/>
  <c r="L92" i="4" s="1"/>
  <c r="J98" i="4"/>
  <c r="K98" i="4" s="1"/>
  <c r="K110" i="4"/>
  <c r="L110" i="4" s="1"/>
  <c r="I115" i="4"/>
  <c r="I117" i="4"/>
  <c r="K43" i="3"/>
  <c r="L43" i="3" s="1"/>
  <c r="I50" i="3"/>
  <c r="J52" i="3"/>
  <c r="K61" i="3"/>
  <c r="L61" i="3" s="1"/>
  <c r="J68" i="3"/>
  <c r="K68" i="3" s="1"/>
  <c r="J77" i="3"/>
  <c r="K77" i="3" s="1"/>
  <c r="K79" i="3"/>
  <c r="L79" i="3" s="1"/>
  <c r="J86" i="3"/>
  <c r="K86" i="3" s="1"/>
  <c r="I102" i="3"/>
  <c r="J104" i="3"/>
  <c r="K113" i="3"/>
  <c r="L113" i="3" s="1"/>
  <c r="I37" i="2"/>
  <c r="J39" i="2"/>
  <c r="K48" i="2"/>
  <c r="L48" i="2" s="1"/>
  <c r="J55" i="2"/>
  <c r="K55" i="2" s="1"/>
  <c r="J64" i="2"/>
  <c r="K64" i="2" s="1"/>
  <c r="K66" i="2"/>
  <c r="L66" i="2" s="1"/>
  <c r="J73" i="2"/>
  <c r="K73" i="2" s="1"/>
  <c r="K84" i="2"/>
  <c r="L84" i="2" s="1"/>
  <c r="I89" i="2"/>
  <c r="J91" i="2"/>
  <c r="K91" i="2" s="1"/>
  <c r="K99" i="2"/>
  <c r="L99" i="2" s="1"/>
  <c r="J107" i="2"/>
  <c r="I116" i="2"/>
  <c r="J111" i="3"/>
  <c r="K111" i="3" s="1"/>
  <c r="J46" i="2"/>
  <c r="K46" i="2" s="1"/>
  <c r="J62" i="2"/>
  <c r="K62" i="2" s="1"/>
  <c r="J80" i="2"/>
  <c r="K80" i="2" s="1"/>
  <c r="J97" i="2"/>
  <c r="K97" i="2" s="1"/>
  <c r="L97" i="2" s="1"/>
  <c r="J114" i="2"/>
  <c r="K114" i="2" s="1"/>
  <c r="J105" i="2"/>
  <c r="K43" i="4"/>
  <c r="L43" i="4" s="1"/>
  <c r="J52" i="4"/>
  <c r="K61" i="4"/>
  <c r="L61" i="4" s="1"/>
  <c r="J68" i="4"/>
  <c r="K68" i="4" s="1"/>
  <c r="J77" i="4"/>
  <c r="K77" i="4" s="1"/>
  <c r="K79" i="4"/>
  <c r="L79" i="4" s="1"/>
  <c r="J86" i="4"/>
  <c r="K86" i="4" s="1"/>
  <c r="L86" i="4" s="1"/>
  <c r="J104" i="4"/>
  <c r="K104" i="4" s="1"/>
  <c r="K113" i="4"/>
  <c r="L113" i="4" s="1"/>
  <c r="J39" i="3"/>
  <c r="K39" i="3" s="1"/>
  <c r="L39" i="3" s="1"/>
  <c r="K48" i="3"/>
  <c r="L48" i="3" s="1"/>
  <c r="J55" i="3"/>
  <c r="J64" i="3"/>
  <c r="K64" i="3" s="1"/>
  <c r="K66" i="3"/>
  <c r="L66" i="3" s="1"/>
  <c r="J73" i="3"/>
  <c r="K73" i="3" s="1"/>
  <c r="K84" i="3"/>
  <c r="L84" i="3" s="1"/>
  <c r="J91" i="3"/>
  <c r="K91" i="3" s="1"/>
  <c r="K99" i="3"/>
  <c r="L99" i="3" s="1"/>
  <c r="J107" i="3"/>
  <c r="K107" i="3" s="1"/>
  <c r="J42" i="2"/>
  <c r="J51" i="2"/>
  <c r="K53" i="2"/>
  <c r="L53" i="2" s="1"/>
  <c r="J60" i="2"/>
  <c r="K60" i="2" s="1"/>
  <c r="K69" i="2"/>
  <c r="L69" i="2" s="1"/>
  <c r="J78" i="2"/>
  <c r="K87" i="2"/>
  <c r="L87" i="2" s="1"/>
  <c r="J94" i="2"/>
  <c r="K94" i="2" s="1"/>
  <c r="J103" i="2"/>
  <c r="K103" i="2" s="1"/>
  <c r="J112" i="2"/>
  <c r="K112" i="2" s="1"/>
  <c r="J39" i="4"/>
  <c r="K39" i="4" s="1"/>
  <c r="K48" i="4"/>
  <c r="L48" i="4" s="1"/>
  <c r="J55" i="4"/>
  <c r="J64" i="4"/>
  <c r="K66" i="4"/>
  <c r="L66" i="4" s="1"/>
  <c r="J73" i="4"/>
  <c r="K73" i="4" s="1"/>
  <c r="K84" i="4"/>
  <c r="L84" i="4" s="1"/>
  <c r="I89" i="4"/>
  <c r="J91" i="4"/>
  <c r="K99" i="4"/>
  <c r="L99" i="4" s="1"/>
  <c r="J107" i="4"/>
  <c r="K107" i="4" s="1"/>
  <c r="I76" i="3"/>
  <c r="J38" i="2"/>
  <c r="K40" i="2"/>
  <c r="L40" i="2" s="1"/>
  <c r="J47" i="2"/>
  <c r="K47" i="2" s="1"/>
  <c r="K56" i="2"/>
  <c r="L56" i="2" s="1"/>
  <c r="I63" i="2"/>
  <c r="J65" i="2"/>
  <c r="K74" i="2"/>
  <c r="L74" i="2" s="1"/>
  <c r="J83" i="2"/>
  <c r="K83" i="2" s="1"/>
  <c r="J90" i="2"/>
  <c r="K90" i="2" s="1"/>
  <c r="K92" i="2"/>
  <c r="L92" i="2" s="1"/>
  <c r="J98" i="2"/>
  <c r="K110" i="2"/>
  <c r="L110" i="2" s="1"/>
  <c r="I115" i="2"/>
  <c r="K32" i="2" l="1"/>
  <c r="K32" i="4"/>
  <c r="U120" i="4"/>
  <c r="U121" i="4" s="1"/>
  <c r="P31" i="4" s="1"/>
  <c r="P32" i="4" s="1"/>
  <c r="Q121" i="4"/>
  <c r="L31" i="4" s="1"/>
  <c r="L32" i="4" s="1"/>
  <c r="P121" i="3"/>
  <c r="K31" i="3" s="1"/>
  <c r="K78" i="2"/>
  <c r="L78" i="2" s="1"/>
  <c r="Y121" i="3"/>
  <c r="T31" i="3" s="1"/>
  <c r="T32" i="3" s="1"/>
  <c r="L113" i="5"/>
  <c r="L55" i="2"/>
  <c r="J116" i="3"/>
  <c r="K51" i="3"/>
  <c r="K116" i="3" s="1"/>
  <c r="L86" i="2"/>
  <c r="L67" i="5"/>
  <c r="L60" i="5"/>
  <c r="K74" i="5"/>
  <c r="K63" i="5" s="1"/>
  <c r="K56" i="5"/>
  <c r="L56" i="5" s="1"/>
  <c r="K55" i="3"/>
  <c r="L55" i="3" s="1"/>
  <c r="L114" i="2"/>
  <c r="J102" i="3"/>
  <c r="L97" i="5"/>
  <c r="K77" i="5"/>
  <c r="L77" i="5" s="1"/>
  <c r="L52" i="5"/>
  <c r="L42" i="3"/>
  <c r="L42" i="5"/>
  <c r="L107" i="3"/>
  <c r="K107" i="2"/>
  <c r="L107" i="2" s="1"/>
  <c r="K52" i="4"/>
  <c r="L52" i="4" s="1"/>
  <c r="K60" i="4"/>
  <c r="L60" i="4" s="1"/>
  <c r="K110" i="5"/>
  <c r="L110" i="5" s="1"/>
  <c r="K52" i="5"/>
  <c r="L62" i="5"/>
  <c r="L106" i="4"/>
  <c r="L91" i="3"/>
  <c r="L73" i="2"/>
  <c r="K101" i="5"/>
  <c r="L101" i="5" s="1"/>
  <c r="L46" i="5"/>
  <c r="L92" i="5"/>
  <c r="L73" i="3"/>
  <c r="L68" i="4"/>
  <c r="L104" i="5"/>
  <c r="J102" i="5"/>
  <c r="Y120" i="5"/>
  <c r="Y121" i="5" s="1"/>
  <c r="T31" i="5" s="1"/>
  <c r="T32" i="5" s="1"/>
  <c r="X120" i="5"/>
  <c r="X121" i="5" s="1"/>
  <c r="S31" i="5" s="1"/>
  <c r="S32" i="5" s="1"/>
  <c r="W120" i="4"/>
  <c r="W121" i="4" s="1"/>
  <c r="R31" i="4" s="1"/>
  <c r="R32" i="4" s="1"/>
  <c r="W120" i="5"/>
  <c r="W121" i="5" s="1"/>
  <c r="R31" i="5" s="1"/>
  <c r="R32" i="5" s="1"/>
  <c r="W121" i="2"/>
  <c r="R31" i="2" s="1"/>
  <c r="R32" i="2" s="1"/>
  <c r="V120" i="5"/>
  <c r="V121" i="5" s="1"/>
  <c r="Q31" i="5" s="1"/>
  <c r="Q32" i="5" s="1"/>
  <c r="U120" i="5"/>
  <c r="U121" i="5" s="1"/>
  <c r="P31" i="5" s="1"/>
  <c r="P32" i="5" s="1"/>
  <c r="T120" i="5"/>
  <c r="T121" i="5" s="1"/>
  <c r="O31" i="5" s="1"/>
  <c r="O32" i="5" s="1"/>
  <c r="T120" i="4"/>
  <c r="T121" i="4" s="1"/>
  <c r="O31" i="4" s="1"/>
  <c r="O32" i="4" s="1"/>
  <c r="S120" i="5"/>
  <c r="S121" i="5" s="1"/>
  <c r="N31" i="5" s="1"/>
  <c r="N32" i="5" s="1"/>
  <c r="R120" i="5"/>
  <c r="R121" i="5" s="1"/>
  <c r="M31" i="5" s="1"/>
  <c r="M32" i="5" s="1"/>
  <c r="K117" i="2"/>
  <c r="L64" i="2"/>
  <c r="N51" i="5"/>
  <c r="K117" i="5"/>
  <c r="K89" i="3"/>
  <c r="X120" i="2"/>
  <c r="X121" i="2" s="1"/>
  <c r="S31" i="2" s="1"/>
  <c r="S32" i="2" s="1"/>
  <c r="L111" i="5"/>
  <c r="K78" i="5"/>
  <c r="L78" i="5" s="1"/>
  <c r="L90" i="3"/>
  <c r="L94" i="5"/>
  <c r="J116" i="2"/>
  <c r="J50" i="2"/>
  <c r="I119" i="2"/>
  <c r="I121" i="2" s="1"/>
  <c r="J89" i="2"/>
  <c r="L90" i="2"/>
  <c r="K65" i="4"/>
  <c r="L65" i="4" s="1"/>
  <c r="L104" i="4"/>
  <c r="L64" i="5"/>
  <c r="K55" i="5"/>
  <c r="L55" i="5" s="1"/>
  <c r="J37" i="5"/>
  <c r="K51" i="2"/>
  <c r="L51" i="2" s="1"/>
  <c r="O120" i="5"/>
  <c r="O121" i="5" s="1"/>
  <c r="J31" i="5" s="1"/>
  <c r="J32" i="5" s="1"/>
  <c r="J76" i="2"/>
  <c r="J118" i="2"/>
  <c r="Q120" i="2"/>
  <c r="Q121" i="2" s="1"/>
  <c r="L31" i="2" s="1"/>
  <c r="L32" i="2" s="1"/>
  <c r="L46" i="2"/>
  <c r="K115" i="4"/>
  <c r="K105" i="2"/>
  <c r="L105" i="2" s="1"/>
  <c r="J37" i="4"/>
  <c r="L38" i="4"/>
  <c r="J115" i="4"/>
  <c r="P120" i="5"/>
  <c r="P121" i="5" s="1"/>
  <c r="K31" i="5" s="1"/>
  <c r="L77" i="2"/>
  <c r="K94" i="4"/>
  <c r="L94" i="4" s="1"/>
  <c r="K42" i="4"/>
  <c r="L42" i="4" s="1"/>
  <c r="K52" i="3"/>
  <c r="I119" i="5"/>
  <c r="I121" i="5" s="1"/>
  <c r="K49" i="5"/>
  <c r="L49" i="5" s="1"/>
  <c r="K85" i="5"/>
  <c r="L85" i="5" s="1"/>
  <c r="L91" i="2"/>
  <c r="K38" i="3"/>
  <c r="J89" i="5"/>
  <c r="K39" i="2"/>
  <c r="L39" i="2" s="1"/>
  <c r="J117" i="4"/>
  <c r="J63" i="4"/>
  <c r="L86" i="3"/>
  <c r="L98" i="4"/>
  <c r="Y120" i="2"/>
  <c r="Y121" i="2" s="1"/>
  <c r="T31" i="2" s="1"/>
  <c r="T32" i="2" s="1"/>
  <c r="K98" i="2"/>
  <c r="K89" i="2" s="1"/>
  <c r="J102" i="4"/>
  <c r="I119" i="4"/>
  <c r="I121" i="4" s="1"/>
  <c r="K117" i="3"/>
  <c r="K63" i="3"/>
  <c r="L94" i="2"/>
  <c r="L47" i="2"/>
  <c r="J118" i="4"/>
  <c r="J76" i="4"/>
  <c r="R120" i="4"/>
  <c r="R121" i="4" s="1"/>
  <c r="M31" i="4" s="1"/>
  <c r="M32" i="4" s="1"/>
  <c r="K103" i="4"/>
  <c r="K102" i="4" s="1"/>
  <c r="I119" i="3"/>
  <c r="I121" i="3" s="1"/>
  <c r="K83" i="3"/>
  <c r="L83" i="3" s="1"/>
  <c r="J116" i="5"/>
  <c r="J50" i="5"/>
  <c r="K47" i="3"/>
  <c r="L47" i="3" s="1"/>
  <c r="N90" i="5"/>
  <c r="K115" i="5"/>
  <c r="L38" i="5"/>
  <c r="J37" i="3"/>
  <c r="J115" i="3"/>
  <c r="K118" i="2"/>
  <c r="L73" i="4"/>
  <c r="K118" i="3"/>
  <c r="J76" i="3"/>
  <c r="J118" i="3"/>
  <c r="L77" i="3"/>
  <c r="J89" i="4"/>
  <c r="L90" i="4"/>
  <c r="V120" i="3"/>
  <c r="V121" i="3" s="1"/>
  <c r="Q31" i="3" s="1"/>
  <c r="Q32" i="3" s="1"/>
  <c r="K103" i="5"/>
  <c r="K64" i="4"/>
  <c r="L64" i="4" s="1"/>
  <c r="K91" i="5"/>
  <c r="J116" i="4"/>
  <c r="J50" i="4"/>
  <c r="L80" i="2"/>
  <c r="J118" i="5"/>
  <c r="J76" i="5"/>
  <c r="L62" i="2"/>
  <c r="L73" i="5"/>
  <c r="L107" i="4"/>
  <c r="L112" i="2"/>
  <c r="L103" i="2"/>
  <c r="J102" i="2"/>
  <c r="J117" i="2"/>
  <c r="J63" i="2"/>
  <c r="J115" i="2"/>
  <c r="J37" i="2"/>
  <c r="L39" i="4"/>
  <c r="J117" i="3"/>
  <c r="J63" i="3"/>
  <c r="J50" i="3"/>
  <c r="L68" i="3"/>
  <c r="L83" i="4"/>
  <c r="K42" i="2"/>
  <c r="L42" i="2" s="1"/>
  <c r="L64" i="3"/>
  <c r="L111" i="3"/>
  <c r="K76" i="4"/>
  <c r="K118" i="4"/>
  <c r="L83" i="2"/>
  <c r="L47" i="4"/>
  <c r="L77" i="4"/>
  <c r="L60" i="2"/>
  <c r="S120" i="4"/>
  <c r="S121" i="4" s="1"/>
  <c r="N31" i="4" s="1"/>
  <c r="N32" i="4" s="1"/>
  <c r="U120" i="3"/>
  <c r="U121" i="3" s="1"/>
  <c r="P31" i="3" s="1"/>
  <c r="P32" i="3" s="1"/>
  <c r="K91" i="4"/>
  <c r="L91" i="4" s="1"/>
  <c r="K104" i="3"/>
  <c r="L104" i="3" s="1"/>
  <c r="L103" i="3"/>
  <c r="K65" i="2"/>
  <c r="L65" i="2" s="1"/>
  <c r="L51" i="4"/>
  <c r="J117" i="5"/>
  <c r="J63" i="5"/>
  <c r="K55" i="4"/>
  <c r="K50" i="4" s="1"/>
  <c r="J89" i="3"/>
  <c r="K38" i="2"/>
  <c r="L38" i="2" s="1"/>
  <c r="L39" i="5"/>
  <c r="T29" i="5"/>
  <c r="T30" i="5" s="1"/>
  <c r="S29" i="5"/>
  <c r="S30" i="5" s="1"/>
  <c r="R29" i="5"/>
  <c r="R30" i="5" s="1"/>
  <c r="Q29" i="5"/>
  <c r="Q30" i="5" s="1"/>
  <c r="P29" i="5"/>
  <c r="P30" i="5" s="1"/>
  <c r="O29" i="5"/>
  <c r="O30" i="5" s="1"/>
  <c r="N29" i="5"/>
  <c r="N30" i="5" s="1"/>
  <c r="M29" i="5"/>
  <c r="M30" i="5" s="1"/>
  <c r="L29" i="5"/>
  <c r="L30" i="5" s="1"/>
  <c r="K29" i="5"/>
  <c r="K30" i="5" s="1"/>
  <c r="J29" i="5"/>
  <c r="J30" i="5" s="1"/>
  <c r="I29" i="5"/>
  <c r="I30" i="5" s="1"/>
  <c r="F27" i="5"/>
  <c r="T29" i="4"/>
  <c r="T30" i="4" s="1"/>
  <c r="S29" i="4"/>
  <c r="S30" i="4" s="1"/>
  <c r="R29" i="4"/>
  <c r="R30" i="4" s="1"/>
  <c r="Q29" i="4"/>
  <c r="Q30" i="4" s="1"/>
  <c r="P29" i="4"/>
  <c r="P30" i="4" s="1"/>
  <c r="O29" i="4"/>
  <c r="O30" i="4" s="1"/>
  <c r="N29" i="4"/>
  <c r="N30" i="4" s="1"/>
  <c r="M29" i="4"/>
  <c r="M30" i="4" s="1"/>
  <c r="L29" i="4"/>
  <c r="L30" i="4" s="1"/>
  <c r="K29" i="4"/>
  <c r="K30" i="4" s="1"/>
  <c r="J29" i="4"/>
  <c r="J30" i="4" s="1"/>
  <c r="I29" i="4"/>
  <c r="I30" i="4" s="1"/>
  <c r="F27" i="4"/>
  <c r="T29" i="3"/>
  <c r="T30" i="3" s="1"/>
  <c r="S29" i="3"/>
  <c r="S30" i="3" s="1"/>
  <c r="R29" i="3"/>
  <c r="R30" i="3" s="1"/>
  <c r="Q29" i="3"/>
  <c r="Q30" i="3" s="1"/>
  <c r="P29" i="3"/>
  <c r="P30" i="3" s="1"/>
  <c r="O29" i="3"/>
  <c r="O30" i="3" s="1"/>
  <c r="N29" i="3"/>
  <c r="N30" i="3" s="1"/>
  <c r="M29" i="3"/>
  <c r="M30" i="3" s="1"/>
  <c r="L29" i="3"/>
  <c r="L30" i="3" s="1"/>
  <c r="K29" i="3"/>
  <c r="K30" i="3" s="1"/>
  <c r="J29" i="3"/>
  <c r="J30" i="3" s="1"/>
  <c r="I29" i="3"/>
  <c r="I30" i="3" s="1"/>
  <c r="F27" i="3"/>
  <c r="T29" i="2"/>
  <c r="T30" i="2" s="1"/>
  <c r="S29" i="2"/>
  <c r="S30" i="2" s="1"/>
  <c r="R29" i="2"/>
  <c r="R30" i="2" s="1"/>
  <c r="Q29" i="2"/>
  <c r="Q30" i="2" s="1"/>
  <c r="P29" i="2"/>
  <c r="P30" i="2" s="1"/>
  <c r="O29" i="2"/>
  <c r="O30" i="2" s="1"/>
  <c r="N29" i="2"/>
  <c r="N30" i="2" s="1"/>
  <c r="M29" i="2"/>
  <c r="M30" i="2" s="1"/>
  <c r="L29" i="2"/>
  <c r="L30" i="2" s="1"/>
  <c r="K29" i="2"/>
  <c r="K30" i="2" s="1"/>
  <c r="J29" i="2"/>
  <c r="J30" i="2" s="1"/>
  <c r="I29" i="2"/>
  <c r="I30" i="2" s="1"/>
  <c r="F27" i="2"/>
  <c r="K116" i="4" l="1"/>
  <c r="K76" i="2"/>
  <c r="L51" i="3"/>
  <c r="N51" i="3" s="1"/>
  <c r="N50" i="3" s="1"/>
  <c r="K76" i="3"/>
  <c r="K50" i="5"/>
  <c r="L74" i="5"/>
  <c r="L63" i="5" s="1"/>
  <c r="L40" i="8" s="1"/>
  <c r="K32" i="5"/>
  <c r="K32" i="3"/>
  <c r="K89" i="5"/>
  <c r="K118" i="5"/>
  <c r="K89" i="4"/>
  <c r="L103" i="4"/>
  <c r="L102" i="4" s="1"/>
  <c r="K43" i="8" s="1"/>
  <c r="K50" i="3"/>
  <c r="L118" i="5"/>
  <c r="L47" i="8" s="1"/>
  <c r="N77" i="5"/>
  <c r="N118" i="5" s="1"/>
  <c r="K37" i="5"/>
  <c r="I30" i="8"/>
  <c r="J30" i="8"/>
  <c r="L76" i="5"/>
  <c r="L41" i="8" s="1"/>
  <c r="K30" i="8"/>
  <c r="L30" i="8"/>
  <c r="K102" i="5"/>
  <c r="L50" i="5"/>
  <c r="L39" i="8" s="1"/>
  <c r="L37" i="2"/>
  <c r="I38" i="8" s="1"/>
  <c r="N38" i="2"/>
  <c r="L115" i="2"/>
  <c r="I44" i="8" s="1"/>
  <c r="L117" i="4"/>
  <c r="K46" i="8" s="1"/>
  <c r="L63" i="4"/>
  <c r="K40" i="8" s="1"/>
  <c r="N64" i="4"/>
  <c r="N89" i="5"/>
  <c r="M90" i="5"/>
  <c r="M89" i="5" s="1"/>
  <c r="L55" i="4"/>
  <c r="L50" i="4" s="1"/>
  <c r="K39" i="8" s="1"/>
  <c r="K116" i="5"/>
  <c r="N38" i="4"/>
  <c r="L115" i="4"/>
  <c r="K44" i="8" s="1"/>
  <c r="L37" i="4"/>
  <c r="K38" i="8" s="1"/>
  <c r="N90" i="2"/>
  <c r="L98" i="2"/>
  <c r="L89" i="2" s="1"/>
  <c r="I42" i="8" s="1"/>
  <c r="J119" i="4"/>
  <c r="J121" i="4" s="1"/>
  <c r="N77" i="4"/>
  <c r="L76" i="4"/>
  <c r="K41" i="8" s="1"/>
  <c r="L118" i="4"/>
  <c r="K47" i="8" s="1"/>
  <c r="K37" i="4"/>
  <c r="K116" i="2"/>
  <c r="K50" i="2"/>
  <c r="M51" i="5"/>
  <c r="N50" i="5"/>
  <c r="K37" i="3"/>
  <c r="K115" i="3"/>
  <c r="J119" i="5"/>
  <c r="J121" i="5" s="1"/>
  <c r="N64" i="2"/>
  <c r="L117" i="2"/>
  <c r="I46" i="8" s="1"/>
  <c r="L63" i="2"/>
  <c r="I40" i="8" s="1"/>
  <c r="L76" i="2"/>
  <c r="I41" i="8" s="1"/>
  <c r="L118" i="2"/>
  <c r="I47" i="8" s="1"/>
  <c r="N77" i="2"/>
  <c r="L52" i="3"/>
  <c r="L50" i="3" s="1"/>
  <c r="J39" i="8" s="1"/>
  <c r="K102" i="3"/>
  <c r="N51" i="2"/>
  <c r="L116" i="2"/>
  <c r="I45" i="8" s="1"/>
  <c r="L50" i="2"/>
  <c r="I39" i="8" s="1"/>
  <c r="K63" i="2"/>
  <c r="N64" i="3"/>
  <c r="L117" i="3"/>
  <c r="J46" i="8" s="1"/>
  <c r="L63" i="3"/>
  <c r="J40" i="8" s="1"/>
  <c r="K76" i="5"/>
  <c r="L103" i="5"/>
  <c r="N103" i="2"/>
  <c r="L102" i="2"/>
  <c r="I43" i="8" s="1"/>
  <c r="J119" i="3"/>
  <c r="J121" i="3" s="1"/>
  <c r="K102" i="2"/>
  <c r="L117" i="5"/>
  <c r="L46" i="8" s="1"/>
  <c r="N64" i="5"/>
  <c r="L38" i="3"/>
  <c r="K117" i="4"/>
  <c r="K63" i="4"/>
  <c r="N51" i="4"/>
  <c r="J119" i="2"/>
  <c r="J121" i="2" s="1"/>
  <c r="N90" i="4"/>
  <c r="L89" i="4"/>
  <c r="K42" i="8" s="1"/>
  <c r="L115" i="5"/>
  <c r="L44" i="8" s="1"/>
  <c r="L37" i="5"/>
  <c r="L38" i="8" s="1"/>
  <c r="N38" i="5"/>
  <c r="L91" i="5"/>
  <c r="L89" i="5" s="1"/>
  <c r="L42" i="8" s="1"/>
  <c r="K37" i="2"/>
  <c r="K115" i="2"/>
  <c r="L102" i="3"/>
  <c r="J43" i="8" s="1"/>
  <c r="N103" i="3"/>
  <c r="L116" i="3"/>
  <c r="J45" i="8" s="1"/>
  <c r="L118" i="3"/>
  <c r="J47" i="8" s="1"/>
  <c r="N77" i="3"/>
  <c r="L76" i="3"/>
  <c r="J41" i="8" s="1"/>
  <c r="L89" i="3"/>
  <c r="J42" i="8" s="1"/>
  <c r="N90" i="3"/>
  <c r="M51" i="3" l="1"/>
  <c r="M50" i="3" s="1"/>
  <c r="L116" i="4"/>
  <c r="K45" i="8" s="1"/>
  <c r="N103" i="4"/>
  <c r="M77" i="5"/>
  <c r="M76" i="5" s="1"/>
  <c r="N76" i="5"/>
  <c r="K119" i="5"/>
  <c r="K121" i="5" s="1"/>
  <c r="K119" i="4"/>
  <c r="K121" i="4" s="1"/>
  <c r="N115" i="4"/>
  <c r="M38" i="4"/>
  <c r="N37" i="4"/>
  <c r="M64" i="2"/>
  <c r="N117" i="2"/>
  <c r="N63" i="2"/>
  <c r="M77" i="3"/>
  <c r="N76" i="3"/>
  <c r="N118" i="3"/>
  <c r="M51" i="2"/>
  <c r="N116" i="2"/>
  <c r="N50" i="2"/>
  <c r="K119" i="2"/>
  <c r="K121" i="2" s="1"/>
  <c r="M103" i="2"/>
  <c r="M102" i="2" s="1"/>
  <c r="N102" i="2"/>
  <c r="M77" i="4"/>
  <c r="N76" i="4"/>
  <c r="N118" i="4"/>
  <c r="N102" i="3"/>
  <c r="M103" i="3"/>
  <c r="N116" i="3"/>
  <c r="N117" i="4"/>
  <c r="N63" i="4"/>
  <c r="M64" i="4"/>
  <c r="M90" i="3"/>
  <c r="M89" i="3" s="1"/>
  <c r="N89" i="3"/>
  <c r="N118" i="2"/>
  <c r="M77" i="2"/>
  <c r="N76" i="2"/>
  <c r="N103" i="5"/>
  <c r="L102" i="5"/>
  <c r="L43" i="8" s="1"/>
  <c r="L116" i="5"/>
  <c r="L45" i="8" s="1"/>
  <c r="N115" i="5"/>
  <c r="N37" i="5"/>
  <c r="M38" i="5"/>
  <c r="N117" i="5"/>
  <c r="M64" i="5"/>
  <c r="N63" i="5"/>
  <c r="M118" i="5"/>
  <c r="N89" i="2"/>
  <c r="M90" i="2"/>
  <c r="M89" i="2" s="1"/>
  <c r="M103" i="4"/>
  <c r="M102" i="4" s="1"/>
  <c r="N102" i="4"/>
  <c r="M51" i="4"/>
  <c r="N116" i="4"/>
  <c r="N50" i="4"/>
  <c r="L37" i="3"/>
  <c r="N38" i="3"/>
  <c r="L115" i="3"/>
  <c r="J44" i="8" s="1"/>
  <c r="K119" i="3"/>
  <c r="K121" i="3" s="1"/>
  <c r="M50" i="5"/>
  <c r="N37" i="2"/>
  <c r="N115" i="2"/>
  <c r="M38" i="2"/>
  <c r="M64" i="3"/>
  <c r="N117" i="3"/>
  <c r="N63" i="3"/>
  <c r="M90" i="4"/>
  <c r="M89" i="4" s="1"/>
  <c r="N89" i="4"/>
  <c r="L119" i="4"/>
  <c r="L119" i="2"/>
  <c r="L119" i="3" l="1"/>
  <c r="J38" i="8"/>
  <c r="I48" i="8"/>
  <c r="L120" i="3"/>
  <c r="J49" i="8" s="1"/>
  <c r="J48" i="8"/>
  <c r="L120" i="4"/>
  <c r="K49" i="8" s="1"/>
  <c r="K48" i="8"/>
  <c r="L119" i="5"/>
  <c r="M117" i="5"/>
  <c r="M63" i="5"/>
  <c r="M102" i="3"/>
  <c r="M116" i="3"/>
  <c r="M117" i="3"/>
  <c r="M63" i="3"/>
  <c r="M37" i="2"/>
  <c r="M115" i="2"/>
  <c r="M115" i="5"/>
  <c r="M37" i="5"/>
  <c r="M76" i="2"/>
  <c r="M118" i="2"/>
  <c r="M76" i="4"/>
  <c r="M118" i="4"/>
  <c r="M118" i="3"/>
  <c r="M76" i="3"/>
  <c r="M116" i="2"/>
  <c r="M50" i="2"/>
  <c r="M50" i="4"/>
  <c r="M116" i="4"/>
  <c r="L120" i="2"/>
  <c r="I49" i="8" s="1"/>
  <c r="M117" i="4"/>
  <c r="M63" i="4"/>
  <c r="M117" i="2"/>
  <c r="M63" i="2"/>
  <c r="N119" i="2"/>
  <c r="M103" i="5"/>
  <c r="N102" i="5"/>
  <c r="N119" i="5" s="1"/>
  <c r="N116" i="5"/>
  <c r="N119" i="4"/>
  <c r="N115" i="3"/>
  <c r="M38" i="3"/>
  <c r="N37" i="3"/>
  <c r="M115" i="4"/>
  <c r="M37" i="4"/>
  <c r="I103" i="1"/>
  <c r="I90" i="1"/>
  <c r="I77" i="1"/>
  <c r="I118" i="1" s="1"/>
  <c r="M60" i="1"/>
  <c r="M52" i="1"/>
  <c r="M43" i="1"/>
  <c r="I68" i="1"/>
  <c r="J68" i="1" s="1"/>
  <c r="K68" i="1" s="1"/>
  <c r="L68" i="1" s="1"/>
  <c r="I64" i="1"/>
  <c r="I117" i="1" s="1"/>
  <c r="M42" i="1"/>
  <c r="F120" i="1"/>
  <c r="M114" i="1"/>
  <c r="I114" i="1"/>
  <c r="J114" i="1" s="1"/>
  <c r="K114" i="1" s="1"/>
  <c r="M113" i="1"/>
  <c r="I113" i="1"/>
  <c r="J113" i="1" s="1"/>
  <c r="M112" i="1"/>
  <c r="I112" i="1"/>
  <c r="M111" i="1"/>
  <c r="I111" i="1"/>
  <c r="J111" i="1" s="1"/>
  <c r="I110" i="1"/>
  <c r="I107" i="1"/>
  <c r="I106" i="1"/>
  <c r="I105" i="1"/>
  <c r="I104" i="1"/>
  <c r="Y102" i="1"/>
  <c r="X102" i="1"/>
  <c r="W102" i="1"/>
  <c r="V102" i="1"/>
  <c r="U102" i="1"/>
  <c r="T102" i="1"/>
  <c r="S102" i="1"/>
  <c r="R102" i="1"/>
  <c r="Q102" i="1"/>
  <c r="P102" i="1"/>
  <c r="O102" i="1"/>
  <c r="H102" i="1"/>
  <c r="M101" i="1"/>
  <c r="I101" i="1"/>
  <c r="M99" i="1"/>
  <c r="I99" i="1"/>
  <c r="M98" i="1"/>
  <c r="I98" i="1"/>
  <c r="J98" i="1" s="1"/>
  <c r="M97" i="1"/>
  <c r="I97" i="1"/>
  <c r="M94" i="1"/>
  <c r="I94" i="1"/>
  <c r="J94" i="1" s="1"/>
  <c r="I93" i="1"/>
  <c r="I92" i="1"/>
  <c r="I91" i="1"/>
  <c r="J91" i="1" s="1"/>
  <c r="K91" i="1" s="1"/>
  <c r="Y89" i="1"/>
  <c r="X89" i="1"/>
  <c r="W89" i="1"/>
  <c r="V89" i="1"/>
  <c r="U89" i="1"/>
  <c r="T89" i="1"/>
  <c r="S89" i="1"/>
  <c r="R89" i="1"/>
  <c r="Q89" i="1"/>
  <c r="P89" i="1"/>
  <c r="O89" i="1"/>
  <c r="H89" i="1"/>
  <c r="I88" i="1"/>
  <c r="J88" i="1" s="1"/>
  <c r="K88" i="1" s="1"/>
  <c r="L88" i="1" s="1"/>
  <c r="M88" i="1" s="1"/>
  <c r="I87" i="1"/>
  <c r="J87" i="1" s="1"/>
  <c r="K87" i="1" s="1"/>
  <c r="I86" i="1"/>
  <c r="I85" i="1"/>
  <c r="I84" i="1"/>
  <c r="J84" i="1" s="1"/>
  <c r="K84" i="1" s="1"/>
  <c r="I83" i="1"/>
  <c r="J83" i="1" s="1"/>
  <c r="I80" i="1"/>
  <c r="I79" i="1"/>
  <c r="J79" i="1" s="1"/>
  <c r="I78" i="1"/>
  <c r="Y76" i="1"/>
  <c r="X76" i="1"/>
  <c r="W76" i="1"/>
  <c r="V76" i="1"/>
  <c r="U76" i="1"/>
  <c r="T76" i="1"/>
  <c r="S76" i="1"/>
  <c r="R76" i="1"/>
  <c r="Q76" i="1"/>
  <c r="P76" i="1"/>
  <c r="O76" i="1"/>
  <c r="H76" i="1"/>
  <c r="M75" i="1"/>
  <c r="I75" i="1"/>
  <c r="M74" i="1"/>
  <c r="I74" i="1"/>
  <c r="J74" i="1" s="1"/>
  <c r="K74" i="1" s="1"/>
  <c r="L74" i="1" s="1"/>
  <c r="M73" i="1"/>
  <c r="I73" i="1"/>
  <c r="M70" i="1"/>
  <c r="I70" i="1"/>
  <c r="J70" i="1" s="1"/>
  <c r="M69" i="1"/>
  <c r="I69" i="1"/>
  <c r="I67" i="1"/>
  <c r="I66" i="1"/>
  <c r="I65" i="1"/>
  <c r="J65" i="1" s="1"/>
  <c r="K65" i="1" s="1"/>
  <c r="Y63" i="1"/>
  <c r="X63" i="1"/>
  <c r="W63" i="1"/>
  <c r="V63" i="1"/>
  <c r="U63" i="1"/>
  <c r="T63" i="1"/>
  <c r="S63" i="1"/>
  <c r="R63" i="1"/>
  <c r="Q63" i="1"/>
  <c r="P63" i="1"/>
  <c r="O63" i="1"/>
  <c r="H63" i="1"/>
  <c r="M62" i="1"/>
  <c r="I62" i="1"/>
  <c r="M61" i="1"/>
  <c r="I61" i="1"/>
  <c r="J61" i="1" s="1"/>
  <c r="K61" i="1" s="1"/>
  <c r="I60" i="1"/>
  <c r="J60" i="1" s="1"/>
  <c r="M57" i="1"/>
  <c r="I57" i="1"/>
  <c r="M56" i="1"/>
  <c r="I56" i="1"/>
  <c r="J56" i="1" s="1"/>
  <c r="K56" i="1" s="1"/>
  <c r="M55" i="1"/>
  <c r="I55" i="1"/>
  <c r="M54" i="1"/>
  <c r="I54" i="1"/>
  <c r="M53" i="1"/>
  <c r="I53" i="1"/>
  <c r="I52" i="1"/>
  <c r="I51" i="1"/>
  <c r="Y50" i="1"/>
  <c r="X50" i="1"/>
  <c r="W50" i="1"/>
  <c r="V50" i="1"/>
  <c r="U50" i="1"/>
  <c r="T50" i="1"/>
  <c r="S50" i="1"/>
  <c r="R50" i="1"/>
  <c r="Q50" i="1"/>
  <c r="P50" i="1"/>
  <c r="O50" i="1"/>
  <c r="H50" i="1"/>
  <c r="M49" i="1"/>
  <c r="I49" i="1"/>
  <c r="M48" i="1"/>
  <c r="I48" i="1"/>
  <c r="M47" i="1"/>
  <c r="I47" i="1"/>
  <c r="M46" i="1"/>
  <c r="I46" i="1"/>
  <c r="I43" i="1"/>
  <c r="I42" i="1"/>
  <c r="J42" i="1" s="1"/>
  <c r="K42" i="1" s="1"/>
  <c r="L42" i="1" s="1"/>
  <c r="M41" i="1"/>
  <c r="I41" i="1"/>
  <c r="J41" i="1" s="1"/>
  <c r="I40" i="1"/>
  <c r="I39" i="1"/>
  <c r="I38" i="1"/>
  <c r="Y37" i="1"/>
  <c r="X37" i="1"/>
  <c r="W37" i="1"/>
  <c r="V37" i="1"/>
  <c r="U37" i="1"/>
  <c r="T37" i="1"/>
  <c r="S37" i="1"/>
  <c r="R37" i="1"/>
  <c r="Q37" i="1"/>
  <c r="P37" i="1"/>
  <c r="O37" i="1"/>
  <c r="H37" i="1"/>
  <c r="T29" i="1"/>
  <c r="T30" i="1" s="1"/>
  <c r="S29" i="1"/>
  <c r="S30" i="1" s="1"/>
  <c r="R29" i="1"/>
  <c r="R30" i="1" s="1"/>
  <c r="Q29" i="1"/>
  <c r="Q30" i="1" s="1"/>
  <c r="P29" i="1"/>
  <c r="P30" i="1" s="1"/>
  <c r="O29" i="1"/>
  <c r="O30" i="1" s="1"/>
  <c r="N29" i="1"/>
  <c r="N30" i="1" s="1"/>
  <c r="M29" i="1"/>
  <c r="M30" i="1" s="1"/>
  <c r="L29" i="1"/>
  <c r="L30" i="1" s="1"/>
  <c r="K29" i="1"/>
  <c r="K30" i="1" s="1"/>
  <c r="J29" i="1"/>
  <c r="J30" i="1" s="1"/>
  <c r="I29" i="1"/>
  <c r="I30" i="1" s="1"/>
  <c r="F27" i="1"/>
  <c r="L121" i="3" l="1"/>
  <c r="L121" i="4"/>
  <c r="J50" i="8"/>
  <c r="J31" i="8" s="1"/>
  <c r="J33" i="8" s="1"/>
  <c r="M119" i="4"/>
  <c r="M120" i="4" s="1"/>
  <c r="M121" i="4" s="1"/>
  <c r="I50" i="1"/>
  <c r="I115" i="1"/>
  <c r="I37" i="1"/>
  <c r="K50" i="8"/>
  <c r="K31" i="8" s="1"/>
  <c r="K33" i="8" s="1"/>
  <c r="L120" i="5"/>
  <c r="L49" i="8" s="1"/>
  <c r="L48" i="8"/>
  <c r="I50" i="8"/>
  <c r="I31" i="8" s="1"/>
  <c r="L121" i="2"/>
  <c r="N120" i="5"/>
  <c r="N121" i="5" s="1"/>
  <c r="I31" i="5" s="1"/>
  <c r="N120" i="4"/>
  <c r="N121" i="4" s="1"/>
  <c r="I31" i="4" s="1"/>
  <c r="M37" i="3"/>
  <c r="M119" i="3" s="1"/>
  <c r="M115" i="3"/>
  <c r="M119" i="2"/>
  <c r="N120" i="2"/>
  <c r="N121" i="2" s="1"/>
  <c r="I31" i="2" s="1"/>
  <c r="M102" i="5"/>
  <c r="M119" i="5" s="1"/>
  <c r="M116" i="5"/>
  <c r="N119" i="3"/>
  <c r="W119" i="1"/>
  <c r="X119" i="1"/>
  <c r="Y119" i="1"/>
  <c r="P119" i="1"/>
  <c r="U119" i="1"/>
  <c r="H119" i="1"/>
  <c r="H121" i="1" s="1"/>
  <c r="Q119" i="1"/>
  <c r="J51" i="1"/>
  <c r="J116" i="1" s="1"/>
  <c r="I116" i="1"/>
  <c r="S119" i="1"/>
  <c r="T119" i="1"/>
  <c r="V119" i="1"/>
  <c r="R119" i="1"/>
  <c r="O119" i="1"/>
  <c r="J38" i="1"/>
  <c r="J49" i="1"/>
  <c r="J103" i="1"/>
  <c r="K103" i="1" s="1"/>
  <c r="J90" i="1"/>
  <c r="K90" i="1" s="1"/>
  <c r="J77" i="1"/>
  <c r="M68" i="1"/>
  <c r="J64" i="1"/>
  <c r="I76" i="1"/>
  <c r="L84" i="1"/>
  <c r="M84" i="1" s="1"/>
  <c r="J75" i="1"/>
  <c r="K75" i="1" s="1"/>
  <c r="L87" i="1"/>
  <c r="M87" i="1" s="1"/>
  <c r="L114" i="1"/>
  <c r="K60" i="1"/>
  <c r="L60" i="1" s="1"/>
  <c r="L56" i="1"/>
  <c r="J104" i="1"/>
  <c r="K104" i="1" s="1"/>
  <c r="L104" i="1" s="1"/>
  <c r="M104" i="1" s="1"/>
  <c r="I102" i="1"/>
  <c r="I89" i="1"/>
  <c r="J67" i="1"/>
  <c r="I63" i="1"/>
  <c r="K113" i="1"/>
  <c r="L113" i="1" s="1"/>
  <c r="L91" i="1"/>
  <c r="M91" i="1" s="1"/>
  <c r="L65" i="1"/>
  <c r="M65" i="1" s="1"/>
  <c r="K98" i="1"/>
  <c r="L98" i="1" s="1"/>
  <c r="L61" i="1"/>
  <c r="K83" i="1"/>
  <c r="L83" i="1" s="1"/>
  <c r="M83" i="1" s="1"/>
  <c r="J43" i="1"/>
  <c r="K43" i="1" s="1"/>
  <c r="L43" i="1" s="1"/>
  <c r="J40" i="1"/>
  <c r="K70" i="1"/>
  <c r="L70" i="1" s="1"/>
  <c r="K79" i="1"/>
  <c r="L79" i="1" s="1"/>
  <c r="M79" i="1" s="1"/>
  <c r="J86" i="1"/>
  <c r="K86" i="1" s="1"/>
  <c r="L86" i="1" s="1"/>
  <c r="M86" i="1" s="1"/>
  <c r="J93" i="1"/>
  <c r="K93" i="1" s="1"/>
  <c r="L93" i="1" s="1"/>
  <c r="M93" i="1" s="1"/>
  <c r="K111" i="1"/>
  <c r="L111" i="1" s="1"/>
  <c r="J47" i="1"/>
  <c r="J54" i="1"/>
  <c r="K54" i="1" s="1"/>
  <c r="J99" i="1"/>
  <c r="K99" i="1" s="1"/>
  <c r="J107" i="1"/>
  <c r="K107" i="1" s="1"/>
  <c r="L107" i="1" s="1"/>
  <c r="M107" i="1" s="1"/>
  <c r="J52" i="1"/>
  <c r="K52" i="1" s="1"/>
  <c r="J97" i="1"/>
  <c r="K97" i="1" s="1"/>
  <c r="J105" i="1"/>
  <c r="J57" i="1"/>
  <c r="J66" i="1"/>
  <c r="K66" i="1" s="1"/>
  <c r="J73" i="1"/>
  <c r="K73" i="1" s="1"/>
  <c r="J80" i="1"/>
  <c r="K80" i="1" s="1"/>
  <c r="L80" i="1" s="1"/>
  <c r="M80" i="1" s="1"/>
  <c r="J112" i="1"/>
  <c r="K41" i="1"/>
  <c r="L41" i="1" s="1"/>
  <c r="J48" i="1"/>
  <c r="K48" i="1" s="1"/>
  <c r="J55" i="1"/>
  <c r="K55" i="1" s="1"/>
  <c r="J69" i="1"/>
  <c r="K69" i="1" s="1"/>
  <c r="J78" i="1"/>
  <c r="K94" i="1"/>
  <c r="L94" i="1" s="1"/>
  <c r="J101" i="1"/>
  <c r="K101" i="1" s="1"/>
  <c r="J110" i="1"/>
  <c r="K110" i="1" s="1"/>
  <c r="J39" i="1"/>
  <c r="J62" i="1"/>
  <c r="J85" i="1"/>
  <c r="K85" i="1" s="1"/>
  <c r="J92" i="1"/>
  <c r="J46" i="1"/>
  <c r="K46" i="1" s="1"/>
  <c r="L46" i="1" s="1"/>
  <c r="J53" i="1"/>
  <c r="K53" i="1" s="1"/>
  <c r="J106" i="1"/>
  <c r="K106" i="1" s="1"/>
  <c r="L121" i="5" l="1"/>
  <c r="L50" i="8"/>
  <c r="L31" i="8" s="1"/>
  <c r="I32" i="2"/>
  <c r="F31" i="2"/>
  <c r="F32" i="2" s="1"/>
  <c r="I32" i="4"/>
  <c r="F31" i="4"/>
  <c r="F32" i="4" s="1"/>
  <c r="I32" i="5"/>
  <c r="F31" i="5"/>
  <c r="F32" i="5" s="1"/>
  <c r="H30" i="8"/>
  <c r="J115" i="1"/>
  <c r="L33" i="8"/>
  <c r="I33" i="8"/>
  <c r="Y120" i="1"/>
  <c r="Y121" i="1" s="1"/>
  <c r="T31" i="1" s="1"/>
  <c r="T32" i="1" s="1"/>
  <c r="X120" i="1"/>
  <c r="X121" i="1" s="1"/>
  <c r="S31" i="1" s="1"/>
  <c r="S32" i="1" s="1"/>
  <c r="W120" i="1"/>
  <c r="W121" i="1" s="1"/>
  <c r="R31" i="1" s="1"/>
  <c r="R32" i="1" s="1"/>
  <c r="V120" i="1"/>
  <c r="V121" i="1" s="1"/>
  <c r="Q31" i="1" s="1"/>
  <c r="Q32" i="1" s="1"/>
  <c r="U120" i="1"/>
  <c r="U121" i="1" s="1"/>
  <c r="P31" i="1" s="1"/>
  <c r="P32" i="1" s="1"/>
  <c r="T120" i="1"/>
  <c r="T121" i="1" s="1"/>
  <c r="O31" i="1" s="1"/>
  <c r="O32" i="1" s="1"/>
  <c r="S120" i="1"/>
  <c r="S121" i="1" s="1"/>
  <c r="N31" i="1" s="1"/>
  <c r="N32" i="1" s="1"/>
  <c r="R120" i="1"/>
  <c r="R121" i="1" s="1"/>
  <c r="M31" i="1" s="1"/>
  <c r="M32" i="1" s="1"/>
  <c r="Q120" i="1"/>
  <c r="Q121" i="1" s="1"/>
  <c r="L31" i="1" s="1"/>
  <c r="L32" i="1" s="1"/>
  <c r="P120" i="1"/>
  <c r="P121" i="1" s="1"/>
  <c r="K31" i="1" s="1"/>
  <c r="M120" i="5"/>
  <c r="M121" i="5" s="1"/>
  <c r="M120" i="3"/>
  <c r="M121" i="3" s="1"/>
  <c r="N120" i="3"/>
  <c r="N121" i="3" s="1"/>
  <c r="I31" i="3" s="1"/>
  <c r="O120" i="1"/>
  <c r="O121" i="1" s="1"/>
  <c r="J31" i="1" s="1"/>
  <c r="J32" i="1" s="1"/>
  <c r="M120" i="2"/>
  <c r="M121" i="2" s="1"/>
  <c r="K51" i="1"/>
  <c r="L51" i="1" s="1"/>
  <c r="K116" i="1"/>
  <c r="I119" i="1"/>
  <c r="I121" i="1" s="1"/>
  <c r="K64" i="1"/>
  <c r="K117" i="1" s="1"/>
  <c r="J117" i="1"/>
  <c r="K77" i="1"/>
  <c r="K118" i="1" s="1"/>
  <c r="J118" i="1"/>
  <c r="K38" i="1"/>
  <c r="K115" i="1" s="1"/>
  <c r="K49" i="1"/>
  <c r="L103" i="1"/>
  <c r="N103" i="1" s="1"/>
  <c r="M103" i="1" s="1"/>
  <c r="L90" i="1"/>
  <c r="N90" i="1" s="1"/>
  <c r="M90" i="1" s="1"/>
  <c r="L75" i="1"/>
  <c r="L69" i="1"/>
  <c r="J63" i="1"/>
  <c r="L85" i="1"/>
  <c r="M85" i="1" s="1"/>
  <c r="K78" i="1"/>
  <c r="L78" i="1" s="1"/>
  <c r="M78" i="1" s="1"/>
  <c r="L53" i="1"/>
  <c r="L97" i="1"/>
  <c r="K62" i="1"/>
  <c r="L62" i="1" s="1"/>
  <c r="J37" i="1"/>
  <c r="L52" i="1"/>
  <c r="L101" i="1"/>
  <c r="L66" i="1"/>
  <c r="M66" i="1" s="1"/>
  <c r="K57" i="1"/>
  <c r="L57" i="1" s="1"/>
  <c r="L110" i="1"/>
  <c r="M110" i="1" s="1"/>
  <c r="K67" i="1"/>
  <c r="L67" i="1" s="1"/>
  <c r="M67" i="1" s="1"/>
  <c r="K39" i="1"/>
  <c r="L39" i="1" s="1"/>
  <c r="M39" i="1" s="1"/>
  <c r="K47" i="1"/>
  <c r="L47" i="1" s="1"/>
  <c r="L55" i="1"/>
  <c r="L106" i="1"/>
  <c r="M106" i="1" s="1"/>
  <c r="K92" i="1"/>
  <c r="L92" i="1" s="1"/>
  <c r="M92" i="1" s="1"/>
  <c r="J102" i="1"/>
  <c r="K40" i="1"/>
  <c r="L40" i="1" s="1"/>
  <c r="M40" i="1" s="1"/>
  <c r="K112" i="1"/>
  <c r="L112" i="1" s="1"/>
  <c r="L54" i="1"/>
  <c r="J76" i="1"/>
  <c r="L99" i="1"/>
  <c r="L48" i="1"/>
  <c r="J89" i="1"/>
  <c r="L73" i="1"/>
  <c r="J50" i="1"/>
  <c r="K105" i="1"/>
  <c r="L105" i="1" s="1"/>
  <c r="M105" i="1" s="1"/>
  <c r="I32" i="3" l="1"/>
  <c r="F31" i="3"/>
  <c r="F32" i="3" s="1"/>
  <c r="K32" i="1"/>
  <c r="G30" i="8"/>
  <c r="L38" i="1"/>
  <c r="N38" i="1" s="1"/>
  <c r="N115" i="1" s="1"/>
  <c r="L64" i="1"/>
  <c r="L63" i="1" s="1"/>
  <c r="H40" i="8" s="1"/>
  <c r="G40" i="8" s="1"/>
  <c r="L115" i="1"/>
  <c r="H44" i="8" s="1"/>
  <c r="G44" i="8" s="1"/>
  <c r="J119" i="1"/>
  <c r="J121" i="1" s="1"/>
  <c r="N64" i="1"/>
  <c r="N63" i="1" s="1"/>
  <c r="L117" i="1"/>
  <c r="H46" i="8" s="1"/>
  <c r="G46" i="8" s="1"/>
  <c r="L77" i="1"/>
  <c r="N51" i="1"/>
  <c r="L116" i="1"/>
  <c r="H45" i="8" s="1"/>
  <c r="G45" i="8" s="1"/>
  <c r="L49" i="1"/>
  <c r="K50" i="1"/>
  <c r="K76" i="1"/>
  <c r="N102" i="1"/>
  <c r="M102" i="1"/>
  <c r="M89" i="1"/>
  <c r="N89" i="1"/>
  <c r="L50" i="1"/>
  <c r="H39" i="8" s="1"/>
  <c r="G39" i="8" s="1"/>
  <c r="K102" i="1"/>
  <c r="K89" i="1"/>
  <c r="K63" i="1"/>
  <c r="K37" i="1"/>
  <c r="L102" i="1"/>
  <c r="H43" i="8" s="1"/>
  <c r="G43" i="8" s="1"/>
  <c r="L89" i="1"/>
  <c r="H42" i="8" s="1"/>
  <c r="G42" i="8" s="1"/>
  <c r="L37" i="1" l="1"/>
  <c r="H38" i="8" s="1"/>
  <c r="G38" i="8" s="1"/>
  <c r="N37" i="1"/>
  <c r="N116" i="1"/>
  <c r="M51" i="1"/>
  <c r="N50" i="1"/>
  <c r="M64" i="1"/>
  <c r="N117" i="1"/>
  <c r="M38" i="1"/>
  <c r="M115" i="1" s="1"/>
  <c r="K119" i="1"/>
  <c r="K121" i="1" s="1"/>
  <c r="N77" i="1"/>
  <c r="N76" i="1" s="1"/>
  <c r="N119" i="1" s="1"/>
  <c r="L118" i="1"/>
  <c r="L76" i="1"/>
  <c r="H41" i="8" s="1"/>
  <c r="G41" i="8" s="1"/>
  <c r="N120" i="1" l="1"/>
  <c r="N121" i="1"/>
  <c r="I31" i="1" s="1"/>
  <c r="H47" i="8"/>
  <c r="G47" i="8" s="1"/>
  <c r="M77" i="1"/>
  <c r="N118" i="1"/>
  <c r="L119" i="1"/>
  <c r="M117" i="1"/>
  <c r="M63" i="1"/>
  <c r="M37" i="1"/>
  <c r="M50" i="1"/>
  <c r="M116" i="1"/>
  <c r="I32" i="1" l="1"/>
  <c r="F31" i="1"/>
  <c r="F32" i="1" s="1"/>
  <c r="L120" i="1"/>
  <c r="H49" i="8" s="1"/>
  <c r="G49" i="8" s="1"/>
  <c r="H48" i="8"/>
  <c r="M118" i="1"/>
  <c r="M76" i="1"/>
  <c r="L121" i="1" l="1"/>
  <c r="H50" i="8"/>
  <c r="G48" i="8"/>
  <c r="M119" i="1"/>
  <c r="G50" i="8" l="1"/>
  <c r="H31" i="8"/>
  <c r="M120" i="1"/>
  <c r="M121" i="1" s="1"/>
  <c r="H33" i="8" l="1"/>
  <c r="G31" i="8"/>
  <c r="G33" i="8" s="1"/>
</calcChain>
</file>

<file path=xl/sharedStrings.xml><?xml version="1.0" encoding="utf-8"?>
<sst xmlns="http://schemas.openxmlformats.org/spreadsheetml/2006/main" count="818" uniqueCount="143">
  <si>
    <t>Instructions</t>
  </si>
  <si>
    <t>Property Information</t>
  </si>
  <si>
    <t>Property Name:</t>
  </si>
  <si>
    <t>Key Count:</t>
  </si>
  <si>
    <t>State Tax %:</t>
  </si>
  <si>
    <t>General Manager:</t>
  </si>
  <si>
    <t>RVP Approval:</t>
  </si>
  <si>
    <t>Budget Year</t>
  </si>
  <si>
    <t xml:space="preserve"> FF&amp;E Reserve Projection</t>
  </si>
  <si>
    <t>Annual</t>
  </si>
  <si>
    <t>January</t>
  </si>
  <si>
    <t>February</t>
  </si>
  <si>
    <t>March</t>
  </si>
  <si>
    <t>April</t>
  </si>
  <si>
    <t>May</t>
  </si>
  <si>
    <t>June</t>
  </si>
  <si>
    <t>July</t>
  </si>
  <si>
    <t>August</t>
  </si>
  <si>
    <t>September</t>
  </si>
  <si>
    <t>October</t>
  </si>
  <si>
    <t>November</t>
  </si>
  <si>
    <t>December</t>
  </si>
  <si>
    <t>Hotel Revenues</t>
  </si>
  <si>
    <t>FF&amp;E Reserve %</t>
  </si>
  <si>
    <t>Estimated FF&amp;E Reserve</t>
  </si>
  <si>
    <t>Item Description</t>
  </si>
  <si>
    <t>Comments</t>
  </si>
  <si>
    <t>Quantity</t>
  </si>
  <si>
    <t>Unit Price</t>
  </si>
  <si>
    <t>Freight Cost</t>
  </si>
  <si>
    <t>Sub Total</t>
  </si>
  <si>
    <t>Tax</t>
  </si>
  <si>
    <t>Purchase Fee</t>
  </si>
  <si>
    <t>Estimate Amount</t>
  </si>
  <si>
    <t>Budget Amount</t>
  </si>
  <si>
    <t>(A) Guestrooms - Bathroom, Kitchen</t>
  </si>
  <si>
    <t>A1</t>
  </si>
  <si>
    <t>A2</t>
  </si>
  <si>
    <t>A3</t>
  </si>
  <si>
    <t>A4</t>
  </si>
  <si>
    <t>A5</t>
  </si>
  <si>
    <t>A6</t>
  </si>
  <si>
    <t>A7</t>
  </si>
  <si>
    <t>A8</t>
  </si>
  <si>
    <t>A9</t>
  </si>
  <si>
    <t>A10</t>
  </si>
  <si>
    <t>(B) Function Space - Meeting Banquet Space</t>
  </si>
  <si>
    <t>B1</t>
  </si>
  <si>
    <t>B2</t>
  </si>
  <si>
    <t>B3</t>
  </si>
  <si>
    <t>B4</t>
  </si>
  <si>
    <t>B5</t>
  </si>
  <si>
    <t>B6</t>
  </si>
  <si>
    <t>B7</t>
  </si>
  <si>
    <t>B8</t>
  </si>
  <si>
    <t>B9</t>
  </si>
  <si>
    <t>B10</t>
  </si>
  <si>
    <t>(C) Public Areas - Lobby, Pool, Fitness, Corridors</t>
  </si>
  <si>
    <t>C1</t>
  </si>
  <si>
    <t>C2</t>
  </si>
  <si>
    <t>C3</t>
  </si>
  <si>
    <t>C4</t>
  </si>
  <si>
    <t>C5</t>
  </si>
  <si>
    <t>C6</t>
  </si>
  <si>
    <t>C7</t>
  </si>
  <si>
    <t>C8</t>
  </si>
  <si>
    <t>C9</t>
  </si>
  <si>
    <t>C10</t>
  </si>
  <si>
    <t>(D) Technology - Computer Systems</t>
  </si>
  <si>
    <t>D1</t>
  </si>
  <si>
    <t>D2</t>
  </si>
  <si>
    <t>D3</t>
  </si>
  <si>
    <t>D4</t>
  </si>
  <si>
    <t>D5</t>
  </si>
  <si>
    <t>D6</t>
  </si>
  <si>
    <t>D7</t>
  </si>
  <si>
    <t>D8</t>
  </si>
  <si>
    <t>D9</t>
  </si>
  <si>
    <t>D10</t>
  </si>
  <si>
    <t>(E) Back of House - Administrative, Laundry</t>
  </si>
  <si>
    <t>E1</t>
  </si>
  <si>
    <t>E2</t>
  </si>
  <si>
    <t>E3</t>
  </si>
  <si>
    <t>E4</t>
  </si>
  <si>
    <t>E5</t>
  </si>
  <si>
    <t>E6</t>
  </si>
  <si>
    <t>E7</t>
  </si>
  <si>
    <t>E8</t>
  </si>
  <si>
    <t>E9</t>
  </si>
  <si>
    <t>E10</t>
  </si>
  <si>
    <t>(F) Building - Site, Exterior, Mechanical</t>
  </si>
  <si>
    <t>F1</t>
  </si>
  <si>
    <t>F2</t>
  </si>
  <si>
    <t>F3</t>
  </si>
  <si>
    <t>F4</t>
  </si>
  <si>
    <t>F5</t>
  </si>
  <si>
    <t>F6</t>
  </si>
  <si>
    <t>F7</t>
  </si>
  <si>
    <t>F8</t>
  </si>
  <si>
    <t>F9</t>
  </si>
  <si>
    <t>F10</t>
  </si>
  <si>
    <t>Example</t>
  </si>
  <si>
    <t>Text</t>
  </si>
  <si>
    <t>2024-2028</t>
  </si>
  <si>
    <t>Contingency</t>
  </si>
  <si>
    <t>5-Year Plan</t>
  </si>
  <si>
    <t>Hotel</t>
  </si>
  <si>
    <t>PIP</t>
  </si>
  <si>
    <t>QA</t>
  </si>
  <si>
    <t>Total Capital Expenditures</t>
  </si>
  <si>
    <t>PCA</t>
  </si>
  <si>
    <t>Other</t>
  </si>
  <si>
    <t>Category</t>
  </si>
  <si>
    <t>QA Total</t>
  </si>
  <si>
    <t>PCA Total</t>
  </si>
  <si>
    <t>Other Total</t>
  </si>
  <si>
    <t>Total Capital Expenditures excl. Contingency</t>
  </si>
  <si>
    <t>PIP Total</t>
  </si>
  <si>
    <t>Fixed % of Total Capital Expenditures excl. Contingency</t>
  </si>
  <si>
    <t>% of Revenue</t>
  </si>
  <si>
    <t>Total Estimated Capital Expenditures</t>
  </si>
  <si>
    <r>
      <t xml:space="preserve">1. Fill out Property Name, Key Count, State Tax % , and General Manager in the Property Information Box
2. Input budget Total Revenues in row 28 columns I to T
3. Input current FF&amp;E reserve balance in cell F32
4. Fill out all applicable data by hotel departments found in the Hotel Capital Plan section. Only fill in columns C to H and total amounts will calculate in columns I through M. Remember to select from Category dropdown options.
3. Spread the estimated capex amount by month in columns N though Y.
4. Capex plans should be reviewed with Regional VPs and Engineering. Once the plan has been approved, the RVP should initial in the RVP Approval box in the Property Information section.
 </t>
    </r>
    <r>
      <rPr>
        <b/>
        <sz val="14"/>
        <color theme="1"/>
        <rFont val="Calibri"/>
        <family val="2"/>
      </rPr>
      <t>IMPORTANT:</t>
    </r>
    <r>
      <rPr>
        <sz val="14"/>
        <color theme="1"/>
        <rFont val="Calibri"/>
        <family val="2"/>
      </rPr>
      <t xml:space="preserve"> Do not add or delete rows or columns from the model. </t>
    </r>
  </si>
  <si>
    <t>A11</t>
  </si>
  <si>
    <t>A12</t>
  </si>
  <si>
    <t>B11</t>
  </si>
  <si>
    <t>B12</t>
  </si>
  <si>
    <t>C11</t>
  </si>
  <si>
    <t>C12</t>
  </si>
  <si>
    <t>D11</t>
  </si>
  <si>
    <t>D12</t>
  </si>
  <si>
    <t>E11</t>
  </si>
  <si>
    <t>E12</t>
  </si>
  <si>
    <t>F11</t>
  </si>
  <si>
    <t>F12</t>
  </si>
  <si>
    <t>Fixed % of Total Capital Expenditures</t>
  </si>
  <si>
    <t>Carryover FF&amp;E Reserve</t>
  </si>
  <si>
    <t>PM Fee</t>
  </si>
  <si>
    <t>Third Party PM</t>
  </si>
  <si>
    <t>FF&amp;E Reserve $</t>
  </si>
  <si>
    <t>HHM JV Hotels-5-Year Capital Plan Summary</t>
  </si>
  <si>
    <t>INPUT 2023 FORECASTED REVENUE HERE</t>
  </si>
  <si>
    <t>INPUT 2023 FORECASTED CAPEX SPEND</t>
  </si>
  <si>
    <t>FF&amp;E Reserve %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</si>
</sst>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4" formatCode="_(&quot;$&quot;* #,##0.00_);_(&quot;$&quot;* \(#,##0.00\);_(&quot;$&quot;* &quot;-&quot;??_);_(@_)"/>
    <numFmt numFmtId="164" formatCode="_(&quot;$&quot;* #,##0_);_(&quot;$&quot;* \(#,##0\);_(&quot;$&quot;* &quot;-&quot;??_);_(@_)"/>
  </numFmts>
  <fonts count="20" x14ac:knownFonts="1">
    <font>
      <sz val="11"/>
      <color theme="1"/>
      <name val="Arial"/>
      <scheme val="minor"/>
    </font>
    <font>
      <sz val="11"/>
      <color theme="1"/>
      <name val="Calibri"/>
      <family val="2"/>
    </font>
    <font>
      <sz val="14"/>
      <color theme="1"/>
      <name val="Calibri"/>
      <family val="2"/>
    </font>
    <font>
      <b/>
      <i/>
      <sz val="18"/>
      <color theme="1"/>
      <name val="Calibri"/>
      <family val="2"/>
    </font>
    <font>
      <b/>
      <sz val="12"/>
      <color theme="0"/>
      <name val="Calibri"/>
      <family val="2"/>
    </font>
    <font>
      <b/>
      <sz val="12"/>
      <color theme="1"/>
      <name val="Calibri"/>
      <family val="2"/>
    </font>
    <font>
      <sz val="12"/>
      <color theme="1"/>
      <name val="Calibri"/>
      <family val="2"/>
    </font>
    <font>
      <sz val="12"/>
      <color rgb="FF0000FF"/>
      <name val="Calibri"/>
      <family val="2"/>
    </font>
    <font>
      <b/>
      <sz val="12"/>
      <color rgb="FF0000FF"/>
      <name val="Calibri"/>
      <family val="2"/>
    </font>
    <font>
      <b/>
      <sz val="14"/>
      <color theme="1"/>
      <name val="Calibri"/>
      <family val="2"/>
    </font>
    <font>
      <sz val="11"/>
      <name val="Calibri"/>
      <family val="2"/>
    </font>
    <font>
      <b/>
      <sz val="12"/>
      <color indexed="12"/>
      <name val="Calibri"/>
      <family val="2"/>
    </font>
    <font>
      <sz val="12"/>
      <name val="Calibri"/>
      <family val="2"/>
    </font>
    <font>
      <sz val="12"/>
      <color rgb="FF00B050"/>
      <name val="Calibri"/>
      <family val="2"/>
    </font>
    <font>
      <b/>
      <sz val="12"/>
      <color rgb="FF00B050"/>
      <name val="Calibri"/>
      <family val="2"/>
    </font>
    <font>
      <b/>
      <sz val="16"/>
      <color theme="1"/>
      <name val="Calibri"/>
      <family val="2"/>
    </font>
    <font>
      <b/>
      <i/>
      <sz val="14"/>
      <color theme="1"/>
      <name val="Calibri"/>
      <family val="2"/>
    </font>
    <font>
      <sz val="11"/>
      <color theme="1"/>
      <name val="Arial"/>
      <family val="2"/>
      <scheme val="minor"/>
    </font>
    <font>
      <strike/>
      <sz val="12"/>
      <name val="Calibri"/>
      <family val="2"/>
    </font>
    <font>
      <b/>
      <sz val="12"/>
      <color indexed="8"/>
      <name val="Calibri"/>
      <family val="2"/>
    </font>
  </fonts>
  <fills count="16">
    <fill>
      <patternFill patternType="none"/>
    </fill>
    <fill>
      <patternFill patternType="gray125"/>
    </fill>
    <fill>
      <patternFill patternType="solid">
        <fgColor rgb="FF262626"/>
        <bgColor rgb="FF262626"/>
      </patternFill>
    </fill>
    <fill>
      <patternFill patternType="solid">
        <fgColor rgb="FFD8D8D8"/>
        <bgColor rgb="FFD8D8D8"/>
      </patternFill>
    </fill>
    <fill>
      <patternFill patternType="solid">
        <fgColor rgb="FFBDD6EE"/>
        <bgColor rgb="FFBDD6EE"/>
      </patternFill>
    </fill>
    <fill>
      <patternFill patternType="solid">
        <fgColor theme="9" tint="0.79998168889431442"/>
        <bgColor rgb="FFBDD6EE"/>
      </patternFill>
    </fill>
    <fill>
      <patternFill patternType="solid">
        <fgColor theme="9" tint="0.79998168889431442"/>
        <bgColor indexed="64"/>
      </patternFill>
    </fill>
    <fill>
      <patternFill patternType="solid">
        <fgColor theme="7" tint="0.79998168889431442"/>
        <bgColor rgb="FFBDD6EE"/>
      </patternFill>
    </fill>
    <fill>
      <patternFill patternType="solid">
        <fgColor theme="7" tint="0.79998168889431442"/>
        <bgColor indexed="64"/>
      </patternFill>
    </fill>
    <fill>
      <patternFill patternType="solid">
        <fgColor theme="6" tint="0.79998168889431442"/>
        <bgColor rgb="FFBDD6EE"/>
      </patternFill>
    </fill>
    <fill>
      <patternFill patternType="solid">
        <fgColor theme="6" tint="0.79998168889431442"/>
        <bgColor indexed="64"/>
      </patternFill>
    </fill>
    <fill>
      <patternFill patternType="solid">
        <fgColor theme="5" tint="0.79998168889431442"/>
        <bgColor rgb="FFBDD6EE"/>
      </patternFill>
    </fill>
    <fill>
      <patternFill patternType="solid">
        <fgColor theme="5" tint="0.79998168889431442"/>
        <bgColor indexed="64"/>
      </patternFill>
    </fill>
    <fill>
      <patternFill patternType="solid">
        <fgColor theme="0" tint="-4.9989318521683403E-2"/>
        <bgColor rgb="FFD8D8D8"/>
      </patternFill>
    </fill>
    <fill>
      <patternFill patternType="solid">
        <fgColor theme="0" tint="-4.9989318521683403E-2"/>
        <bgColor indexed="64"/>
      </patternFill>
    </fill>
    <fill>
      <patternFill patternType="solid">
        <fgColor theme="0" tint="-4.9989318521683403E-2"/>
        <bgColor rgb="FFBDD6EE"/>
      </patternFill>
    </fill>
  </fills>
  <borders count="56">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style="thin">
        <color rgb="FF000000"/>
      </right>
      <top style="thin">
        <color rgb="FF000000"/>
      </top>
      <bottom style="thin">
        <color rgb="FF000000"/>
      </bottom>
      <diagonal/>
    </border>
    <border>
      <left style="thin">
        <color rgb="FF000000"/>
      </left>
      <right/>
      <top style="dotted">
        <color rgb="FF000000"/>
      </top>
      <bottom style="dotted">
        <color rgb="FF000000"/>
      </bottom>
      <diagonal/>
    </border>
    <border>
      <left style="thin">
        <color rgb="FF000000"/>
      </left>
      <right style="thin">
        <color rgb="FF000000"/>
      </right>
      <top style="dotted">
        <color rgb="FF000000"/>
      </top>
      <bottom style="dotted">
        <color rgb="FF000000"/>
      </bottom>
      <diagonal/>
    </border>
    <border>
      <left/>
      <right/>
      <top/>
      <bottom style="dotted">
        <color rgb="FF000000"/>
      </bottom>
      <diagonal/>
    </border>
    <border>
      <left/>
      <right style="thin">
        <color rgb="FF000000"/>
      </right>
      <top/>
      <bottom style="dotted">
        <color rgb="FF000000"/>
      </bottom>
      <diagonal/>
    </border>
    <border>
      <left style="thin">
        <color rgb="FF000000"/>
      </left>
      <right style="thin">
        <color rgb="FF000000"/>
      </right>
      <top/>
      <bottom style="dotted">
        <color rgb="FF000000"/>
      </bottom>
      <diagonal/>
    </border>
    <border>
      <left/>
      <right/>
      <top style="dotted">
        <color rgb="FF000000"/>
      </top>
      <bottom style="dotted">
        <color rgb="FF000000"/>
      </bottom>
      <diagonal/>
    </border>
    <border>
      <left/>
      <right style="thin">
        <color rgb="FF000000"/>
      </right>
      <top style="dotted">
        <color rgb="FF000000"/>
      </top>
      <bottom style="dotted">
        <color rgb="FF000000"/>
      </bottom>
      <diagonal/>
    </border>
    <border>
      <left style="thin">
        <color rgb="FF000000"/>
      </left>
      <right style="thin">
        <color rgb="FF000000"/>
      </right>
      <top style="dotted">
        <color rgb="FF000000"/>
      </top>
      <bottom/>
      <diagonal/>
    </border>
    <border>
      <left style="thin">
        <color rgb="FF000000"/>
      </left>
      <right/>
      <top/>
      <bottom style="dotted">
        <color rgb="FF000000"/>
      </bottom>
      <diagonal/>
    </border>
    <border>
      <left style="thin">
        <color rgb="FF000000"/>
      </left>
      <right style="thin">
        <color rgb="FF000000"/>
      </right>
      <top style="dotted">
        <color rgb="FF000000"/>
      </top>
      <bottom style="medium">
        <color indexed="64"/>
      </bottom>
      <diagonal/>
    </border>
    <border>
      <left style="medium">
        <color indexed="64"/>
      </left>
      <right/>
      <top style="medium">
        <color indexed="64"/>
      </top>
      <bottom style="dotted">
        <color rgb="FF000000"/>
      </bottom>
      <diagonal/>
    </border>
    <border>
      <left/>
      <right/>
      <top style="medium">
        <color indexed="64"/>
      </top>
      <bottom style="dotted">
        <color rgb="FF000000"/>
      </bottom>
      <diagonal/>
    </border>
    <border>
      <left style="thin">
        <color theme="0"/>
      </left>
      <right/>
      <top style="medium">
        <color indexed="64"/>
      </top>
      <bottom style="dotted">
        <color rgb="FF000000"/>
      </bottom>
      <diagonal/>
    </border>
    <border>
      <left/>
      <right style="thin">
        <color theme="0"/>
      </right>
      <top style="medium">
        <color indexed="64"/>
      </top>
      <bottom style="dotted">
        <color rgb="FF000000"/>
      </bottom>
      <diagonal/>
    </border>
    <border>
      <left style="thin">
        <color theme="0"/>
      </left>
      <right style="thin">
        <color theme="0"/>
      </right>
      <top style="medium">
        <color indexed="64"/>
      </top>
      <bottom style="dotted">
        <color rgb="FF000000"/>
      </bottom>
      <diagonal/>
    </border>
    <border>
      <left style="thin">
        <color theme="0"/>
      </left>
      <right style="medium">
        <color indexed="64"/>
      </right>
      <top style="medium">
        <color indexed="64"/>
      </top>
      <bottom style="dotted">
        <color rgb="FF000000"/>
      </bottom>
      <diagonal/>
    </border>
    <border>
      <left style="medium">
        <color indexed="64"/>
      </left>
      <right/>
      <top style="dotted">
        <color rgb="FF000000"/>
      </top>
      <bottom style="dotted">
        <color rgb="FF000000"/>
      </bottom>
      <diagonal/>
    </border>
    <border>
      <left style="thin">
        <color rgb="FF000000"/>
      </left>
      <right style="medium">
        <color indexed="64"/>
      </right>
      <top style="dotted">
        <color rgb="FF000000"/>
      </top>
      <bottom style="dotted">
        <color rgb="FF000000"/>
      </bottom>
      <diagonal/>
    </border>
    <border>
      <left style="medium">
        <color indexed="64"/>
      </left>
      <right/>
      <top style="dotted">
        <color rgb="FF000000"/>
      </top>
      <bottom style="medium">
        <color indexed="64"/>
      </bottom>
      <diagonal/>
    </border>
    <border>
      <left/>
      <right/>
      <top style="dotted">
        <color rgb="FF000000"/>
      </top>
      <bottom style="medium">
        <color indexed="64"/>
      </bottom>
      <diagonal/>
    </border>
    <border>
      <left style="thin">
        <color rgb="FF000000"/>
      </left>
      <right/>
      <top style="dotted">
        <color rgb="FF000000"/>
      </top>
      <bottom style="medium">
        <color indexed="64"/>
      </bottom>
      <diagonal/>
    </border>
    <border>
      <left/>
      <right style="thin">
        <color rgb="FF000000"/>
      </right>
      <top style="dotted">
        <color rgb="FF000000"/>
      </top>
      <bottom style="medium">
        <color indexed="64"/>
      </bottom>
      <diagonal/>
    </border>
    <border>
      <left style="thin">
        <color rgb="FF000000"/>
      </left>
      <right style="medium">
        <color indexed="64"/>
      </right>
      <top style="dotted">
        <color rgb="FF000000"/>
      </top>
      <bottom style="medium">
        <color indexed="64"/>
      </bottom>
      <diagonal/>
    </border>
    <border>
      <left style="thin">
        <color indexed="64"/>
      </left>
      <right style="thin">
        <color rgb="FF000000"/>
      </right>
      <top style="dotted">
        <color rgb="FF000000"/>
      </top>
      <bottom style="dotted">
        <color rgb="FF000000"/>
      </bottom>
      <diagonal/>
    </border>
    <border>
      <left style="thin">
        <color indexed="64"/>
      </left>
      <right/>
      <top style="dotted">
        <color rgb="FF000000"/>
      </top>
      <bottom style="dotted">
        <color rgb="FF000000"/>
      </bottom>
      <diagonal/>
    </border>
    <border>
      <left style="medium">
        <color indexed="64"/>
      </left>
      <right/>
      <top style="medium">
        <color indexed="64"/>
      </top>
      <bottom/>
      <diagonal/>
    </border>
    <border>
      <left/>
      <right style="thin">
        <color theme="0"/>
      </right>
      <top style="medium">
        <color indexed="64"/>
      </top>
      <bottom/>
      <diagonal/>
    </border>
    <border>
      <left style="thin">
        <color theme="0"/>
      </left>
      <right/>
      <top style="medium">
        <color indexed="64"/>
      </top>
      <bottom/>
      <diagonal/>
    </border>
    <border>
      <left style="thin">
        <color theme="0"/>
      </left>
      <right style="thin">
        <color theme="0"/>
      </right>
      <top style="medium">
        <color indexed="64"/>
      </top>
      <bottom/>
      <diagonal/>
    </border>
    <border>
      <left style="thin">
        <color theme="0"/>
      </left>
      <right style="medium">
        <color indexed="64"/>
      </right>
      <top style="medium">
        <color indexed="64"/>
      </top>
      <bottom/>
      <diagonal/>
    </border>
    <border>
      <left style="medium">
        <color indexed="64"/>
      </left>
      <right/>
      <top/>
      <bottom style="dotted">
        <color rgb="FF000000"/>
      </bottom>
      <diagonal/>
    </border>
    <border>
      <left style="thin">
        <color rgb="FF000000"/>
      </left>
      <right style="medium">
        <color indexed="64"/>
      </right>
      <top/>
      <bottom style="dotted">
        <color rgb="FF000000"/>
      </bottom>
      <diagonal/>
    </border>
    <border>
      <left style="medium">
        <color indexed="64"/>
      </left>
      <right style="thin">
        <color rgb="FF000000"/>
      </right>
      <top style="dotted">
        <color rgb="FF000000"/>
      </top>
      <bottom style="dotted">
        <color rgb="FF000000"/>
      </bottom>
      <diagonal/>
    </border>
    <border>
      <left style="thin">
        <color rgb="FF000000"/>
      </left>
      <right style="medium">
        <color indexed="64"/>
      </right>
      <top style="dotted">
        <color rgb="FF000000"/>
      </top>
      <bottom/>
      <diagonal/>
    </border>
    <border>
      <left/>
      <right/>
      <top style="medium">
        <color indexed="64"/>
      </top>
      <bottom/>
      <diagonal/>
    </border>
    <border>
      <left style="thin">
        <color indexed="64"/>
      </left>
      <right style="thin">
        <color rgb="FF000000"/>
      </right>
      <top style="dotted">
        <color rgb="FF000000"/>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7" fillId="0" borderId="0" applyFont="0" applyFill="0" applyBorder="0" applyAlignment="0" applyProtection="0"/>
  </cellStyleXfs>
  <cellXfs count="220">
    <xf numFmtId="0" fontId="0" fillId="0" borderId="0" xfId="0"/>
    <xf numFmtId="0" fontId="1" fillId="0" borderId="0" xfId="0" applyFont="1"/>
    <xf numFmtId="0" fontId="1" fillId="0" borderId="0" xfId="0" applyFont="1" applyAlignment="1">
      <alignment horizontal="center" vertical="center"/>
    </xf>
    <xf numFmtId="1" fontId="1" fillId="0" borderId="0" xfId="0" applyNumberFormat="1" applyFont="1"/>
    <xf numFmtId="0" fontId="3" fillId="0" borderId="4" xfId="0" applyFont="1" applyBorder="1"/>
    <xf numFmtId="0" fontId="1" fillId="0" borderId="4" xfId="0" applyFont="1" applyBorder="1"/>
    <xf numFmtId="0" fontId="6" fillId="4" borderId="10" xfId="0" applyFont="1" applyFill="1" applyBorder="1" applyAlignment="1">
      <alignment horizontal="center" vertical="center"/>
    </xf>
    <xf numFmtId="2" fontId="5" fillId="4" borderId="10" xfId="0" applyNumberFormat="1" applyFont="1" applyFill="1" applyBorder="1"/>
    <xf numFmtId="44" fontId="5" fillId="4" borderId="10" xfId="0" applyNumberFormat="1" applyFont="1" applyFill="1" applyBorder="1"/>
    <xf numFmtId="0" fontId="7" fillId="0" borderId="7" xfId="0" applyFont="1" applyBorder="1"/>
    <xf numFmtId="2" fontId="7" fillId="0" borderId="7" xfId="0" applyNumberFormat="1" applyFont="1" applyBorder="1"/>
    <xf numFmtId="44" fontId="7" fillId="0" borderId="7" xfId="0" applyNumberFormat="1" applyFont="1" applyBorder="1"/>
    <xf numFmtId="44" fontId="6" fillId="0" borderId="7" xfId="0" applyNumberFormat="1" applyFont="1" applyBorder="1"/>
    <xf numFmtId="0" fontId="5" fillId="4" borderId="7" xfId="0" applyFont="1" applyFill="1" applyBorder="1"/>
    <xf numFmtId="2" fontId="5" fillId="4" borderId="7" xfId="0" applyNumberFormat="1" applyFont="1" applyFill="1" applyBorder="1"/>
    <xf numFmtId="44" fontId="5" fillId="4" borderId="7" xfId="0" applyNumberFormat="1" applyFont="1" applyFill="1" applyBorder="1"/>
    <xf numFmtId="44" fontId="5" fillId="4" borderId="15" xfId="0" applyNumberFormat="1" applyFont="1" applyFill="1" applyBorder="1"/>
    <xf numFmtId="10" fontId="6" fillId="0" borderId="7" xfId="0" applyNumberFormat="1" applyFont="1" applyBorder="1"/>
    <xf numFmtId="0" fontId="6" fillId="0" borderId="0" xfId="0" applyFont="1"/>
    <xf numFmtId="0" fontId="6" fillId="0" borderId="0" xfId="0" applyFont="1" applyAlignment="1">
      <alignment horizontal="center" vertical="center"/>
    </xf>
    <xf numFmtId="1" fontId="6" fillId="0" borderId="0" xfId="0" applyNumberFormat="1" applyFont="1"/>
    <xf numFmtId="0" fontId="6" fillId="0" borderId="4" xfId="0" applyFont="1" applyBorder="1"/>
    <xf numFmtId="0" fontId="6" fillId="0" borderId="4" xfId="0" applyFont="1" applyBorder="1" applyAlignment="1">
      <alignment horizontal="center" vertical="center"/>
    </xf>
    <xf numFmtId="1" fontId="6" fillId="0" borderId="4" xfId="0" applyNumberFormat="1" applyFont="1" applyBorder="1"/>
    <xf numFmtId="0" fontId="6" fillId="0" borderId="0" xfId="0" applyFont="1" applyAlignment="1">
      <alignment horizontal="center" vertical="center" wrapText="1"/>
    </xf>
    <xf numFmtId="0" fontId="6" fillId="0" borderId="0" xfId="0" applyFont="1" applyAlignment="1">
      <alignment vertical="top"/>
    </xf>
    <xf numFmtId="41" fontId="6" fillId="0" borderId="0" xfId="0" applyNumberFormat="1" applyFont="1"/>
    <xf numFmtId="44" fontId="6" fillId="0" borderId="0" xfId="0" applyNumberFormat="1" applyFont="1"/>
    <xf numFmtId="0" fontId="15" fillId="0" borderId="0" xfId="0" applyFont="1"/>
    <xf numFmtId="0" fontId="16" fillId="0" borderId="4" xfId="0" applyFont="1" applyBorder="1"/>
    <xf numFmtId="10" fontId="13" fillId="3" borderId="6" xfId="0" applyNumberFormat="1" applyFont="1" applyFill="1" applyBorder="1"/>
    <xf numFmtId="0" fontId="5" fillId="5" borderId="7" xfId="0" applyFont="1" applyFill="1" applyBorder="1"/>
    <xf numFmtId="2" fontId="5" fillId="5" borderId="7" xfId="0" applyNumberFormat="1" applyFont="1" applyFill="1" applyBorder="1"/>
    <xf numFmtId="44" fontId="5" fillId="5" borderId="7" xfId="0" applyNumberFormat="1" applyFont="1" applyFill="1" applyBorder="1"/>
    <xf numFmtId="0" fontId="5" fillId="7" borderId="7" xfId="0" applyFont="1" applyFill="1" applyBorder="1"/>
    <xf numFmtId="2" fontId="5" fillId="7" borderId="7" xfId="0" applyNumberFormat="1" applyFont="1" applyFill="1" applyBorder="1"/>
    <xf numFmtId="44" fontId="5" fillId="7" borderId="7" xfId="0" applyNumberFormat="1" applyFont="1" applyFill="1" applyBorder="1"/>
    <xf numFmtId="0" fontId="5" fillId="9" borderId="7" xfId="0" applyFont="1" applyFill="1" applyBorder="1"/>
    <xf numFmtId="2" fontId="5" fillId="9" borderId="7" xfId="0" applyNumberFormat="1" applyFont="1" applyFill="1" applyBorder="1"/>
    <xf numFmtId="44" fontId="5" fillId="9" borderId="7" xfId="0" applyNumberFormat="1" applyFont="1" applyFill="1" applyBorder="1"/>
    <xf numFmtId="0" fontId="5" fillId="11" borderId="7" xfId="0" applyFont="1" applyFill="1" applyBorder="1"/>
    <xf numFmtId="2" fontId="5" fillId="11" borderId="7" xfId="0" applyNumberFormat="1" applyFont="1" applyFill="1" applyBorder="1"/>
    <xf numFmtId="44" fontId="5" fillId="11" borderId="7" xfId="0" applyNumberFormat="1" applyFont="1" applyFill="1" applyBorder="1"/>
    <xf numFmtId="0" fontId="8" fillId="13" borderId="11" xfId="0" applyFont="1" applyFill="1" applyBorder="1"/>
    <xf numFmtId="0" fontId="5" fillId="13" borderId="12" xfId="0" applyFont="1" applyFill="1" applyBorder="1"/>
    <xf numFmtId="9" fontId="11" fillId="14" borderId="7" xfId="1" applyFont="1" applyFill="1" applyBorder="1"/>
    <xf numFmtId="41" fontId="5" fillId="15" borderId="7" xfId="0" applyNumberFormat="1" applyFont="1" applyFill="1" applyBorder="1" applyAlignment="1">
      <alignment horizontal="center"/>
    </xf>
    <xf numFmtId="44" fontId="5" fillId="15" borderId="7" xfId="0" applyNumberFormat="1" applyFont="1" applyFill="1" applyBorder="1"/>
    <xf numFmtId="0" fontId="4" fillId="2" borderId="16" xfId="0" applyFont="1" applyFill="1" applyBorder="1"/>
    <xf numFmtId="0" fontId="4" fillId="2" borderId="17" xfId="0" applyFont="1" applyFill="1" applyBorder="1"/>
    <xf numFmtId="0" fontId="4" fillId="2" borderId="18" xfId="0" applyFont="1" applyFill="1" applyBorder="1" applyAlignment="1">
      <alignment horizontal="center"/>
    </xf>
    <xf numFmtId="0" fontId="4" fillId="2" borderId="20" xfId="0" applyFont="1" applyFill="1" applyBorder="1" applyAlignment="1">
      <alignment horizontal="center"/>
    </xf>
    <xf numFmtId="0" fontId="4" fillId="2" borderId="21" xfId="0" applyFont="1" applyFill="1" applyBorder="1" applyAlignment="1">
      <alignment horizontal="center"/>
    </xf>
    <xf numFmtId="0" fontId="6" fillId="0" borderId="22" xfId="0" applyFont="1" applyBorder="1"/>
    <xf numFmtId="0" fontId="6" fillId="0" borderId="11" xfId="0" applyFont="1" applyBorder="1"/>
    <xf numFmtId="10" fontId="6" fillId="0" borderId="23" xfId="0" applyNumberFormat="1" applyFont="1" applyBorder="1"/>
    <xf numFmtId="0" fontId="6" fillId="0" borderId="24" xfId="0" applyFont="1" applyBorder="1"/>
    <xf numFmtId="0" fontId="6" fillId="0" borderId="25" xfId="0" applyFont="1" applyBorder="1"/>
    <xf numFmtId="9" fontId="14" fillId="14" borderId="7" xfId="1" applyFont="1" applyFill="1" applyBorder="1"/>
    <xf numFmtId="44" fontId="12" fillId="0" borderId="7" xfId="0" applyNumberFormat="1" applyFont="1" applyBorder="1"/>
    <xf numFmtId="0" fontId="12" fillId="0" borderId="0" xfId="0" applyFont="1"/>
    <xf numFmtId="0" fontId="18" fillId="0" borderId="0" xfId="0" applyFont="1"/>
    <xf numFmtId="44" fontId="5" fillId="15" borderId="13" xfId="0" applyNumberFormat="1" applyFont="1" applyFill="1" applyBorder="1" applyAlignment="1">
      <alignment horizontal="center" vertical="center"/>
    </xf>
    <xf numFmtId="44" fontId="19" fillId="15" borderId="13" xfId="0" applyNumberFormat="1" applyFont="1" applyFill="1" applyBorder="1" applyAlignment="1">
      <alignment horizontal="center" vertical="center"/>
    </xf>
    <xf numFmtId="10" fontId="6" fillId="0" borderId="15" xfId="0" applyNumberFormat="1" applyFont="1" applyBorder="1"/>
    <xf numFmtId="1" fontId="5" fillId="15" borderId="6" xfId="0" applyNumberFormat="1" applyFont="1" applyFill="1" applyBorder="1"/>
    <xf numFmtId="164" fontId="6" fillId="0" borderId="7" xfId="0" applyNumberFormat="1" applyFont="1" applyBorder="1"/>
    <xf numFmtId="164" fontId="7" fillId="3" borderId="7" xfId="0" applyNumberFormat="1" applyFont="1" applyFill="1" applyBorder="1"/>
    <xf numFmtId="164" fontId="7" fillId="3" borderId="23" xfId="0" applyNumberFormat="1" applyFont="1" applyFill="1" applyBorder="1"/>
    <xf numFmtId="164" fontId="5" fillId="0" borderId="6" xfId="0" applyNumberFormat="1" applyFont="1" applyBorder="1"/>
    <xf numFmtId="164" fontId="13" fillId="3" borderId="7" xfId="0" applyNumberFormat="1" applyFont="1" applyFill="1" applyBorder="1"/>
    <xf numFmtId="164" fontId="6" fillId="0" borderId="23" xfId="0" applyNumberFormat="1" applyFont="1" applyBorder="1"/>
    <xf numFmtId="10" fontId="6" fillId="0" borderId="28" xfId="0" applyNumberFormat="1" applyFont="1" applyBorder="1"/>
    <xf numFmtId="10" fontId="5" fillId="0" borderId="15" xfId="0" applyNumberFormat="1" applyFont="1" applyBorder="1"/>
    <xf numFmtId="164" fontId="5" fillId="0" borderId="29" xfId="0" applyNumberFormat="1" applyFont="1" applyBorder="1" applyAlignment="1">
      <alignment vertical="center"/>
    </xf>
    <xf numFmtId="164" fontId="13" fillId="0" borderId="10" xfId="0" applyNumberFormat="1" applyFont="1" applyBorder="1"/>
    <xf numFmtId="164" fontId="5" fillId="5" borderId="29" xfId="0" applyNumberFormat="1" applyFont="1" applyFill="1" applyBorder="1"/>
    <xf numFmtId="164" fontId="13" fillId="5" borderId="7" xfId="0" applyNumberFormat="1" applyFont="1" applyFill="1" applyBorder="1"/>
    <xf numFmtId="164" fontId="5" fillId="7" borderId="29" xfId="0" applyNumberFormat="1" applyFont="1" applyFill="1" applyBorder="1"/>
    <xf numFmtId="164" fontId="13" fillId="7" borderId="7" xfId="0" applyNumberFormat="1" applyFont="1" applyFill="1" applyBorder="1"/>
    <xf numFmtId="164" fontId="5" fillId="9" borderId="29" xfId="0" applyNumberFormat="1" applyFont="1" applyFill="1" applyBorder="1"/>
    <xf numFmtId="164" fontId="13" fillId="9" borderId="7" xfId="0" applyNumberFormat="1" applyFont="1" applyFill="1" applyBorder="1"/>
    <xf numFmtId="164" fontId="5" fillId="11" borderId="29" xfId="0" applyNumberFormat="1" applyFont="1" applyFill="1" applyBorder="1"/>
    <xf numFmtId="164" fontId="13" fillId="11" borderId="7" xfId="0" applyNumberFormat="1" applyFont="1" applyFill="1" applyBorder="1"/>
    <xf numFmtId="164" fontId="5" fillId="4" borderId="29" xfId="0" applyNumberFormat="1" applyFont="1" applyFill="1" applyBorder="1"/>
    <xf numFmtId="164" fontId="13" fillId="4" borderId="7" xfId="0" applyNumberFormat="1" applyFont="1" applyFill="1" applyBorder="1"/>
    <xf numFmtId="164" fontId="5" fillId="15" borderId="29" xfId="0" applyNumberFormat="1" applyFont="1" applyFill="1" applyBorder="1"/>
    <xf numFmtId="164" fontId="13" fillId="15" borderId="6" xfId="0" applyNumberFormat="1" applyFont="1" applyFill="1" applyBorder="1" applyAlignment="1">
      <alignment vertical="center"/>
    </xf>
    <xf numFmtId="164" fontId="13" fillId="15" borderId="30" xfId="0" applyNumberFormat="1" applyFont="1" applyFill="1" applyBorder="1" applyAlignment="1">
      <alignment vertical="center"/>
    </xf>
    <xf numFmtId="164" fontId="13" fillId="15" borderId="29" xfId="0" applyNumberFormat="1" applyFont="1" applyFill="1" applyBorder="1" applyAlignment="1">
      <alignment vertical="center"/>
    </xf>
    <xf numFmtId="164" fontId="13" fillId="15" borderId="7" xfId="0" applyNumberFormat="1" applyFont="1" applyFill="1" applyBorder="1"/>
    <xf numFmtId="0" fontId="4" fillId="2" borderId="32" xfId="0" applyFont="1" applyFill="1" applyBorder="1" applyAlignment="1">
      <alignment horizontal="center" vertical="center" wrapText="1"/>
    </xf>
    <xf numFmtId="0" fontId="4" fillId="2" borderId="33" xfId="0" applyFont="1" applyFill="1" applyBorder="1" applyAlignment="1">
      <alignment horizontal="center" vertical="center" wrapText="1"/>
    </xf>
    <xf numFmtId="1" fontId="4" fillId="2" borderId="34" xfId="0" applyNumberFormat="1" applyFont="1" applyFill="1" applyBorder="1" applyAlignment="1">
      <alignment horizontal="center" vertical="center" wrapText="1"/>
    </xf>
    <xf numFmtId="0" fontId="4" fillId="2" borderId="34" xfId="0" applyFont="1" applyFill="1" applyBorder="1" applyAlignment="1">
      <alignment horizontal="center" vertical="center" wrapText="1"/>
    </xf>
    <xf numFmtId="0" fontId="4" fillId="2" borderId="35" xfId="0" applyFont="1" applyFill="1" applyBorder="1" applyAlignment="1">
      <alignment horizontal="center" vertical="center" wrapText="1"/>
    </xf>
    <xf numFmtId="44" fontId="5" fillId="4" borderId="37" xfId="0" applyNumberFormat="1" applyFont="1" applyFill="1" applyBorder="1"/>
    <xf numFmtId="0" fontId="6" fillId="0" borderId="38" xfId="0" applyFont="1" applyBorder="1" applyAlignment="1">
      <alignment horizontal="center"/>
    </xf>
    <xf numFmtId="44" fontId="12" fillId="0" borderId="23" xfId="0" applyNumberFormat="1" applyFont="1" applyBorder="1"/>
    <xf numFmtId="44" fontId="5" fillId="5" borderId="23" xfId="0" applyNumberFormat="1" applyFont="1" applyFill="1" applyBorder="1"/>
    <xf numFmtId="44" fontId="5" fillId="7" borderId="23" xfId="0" applyNumberFormat="1" applyFont="1" applyFill="1" applyBorder="1"/>
    <xf numFmtId="44" fontId="5" fillId="9" borderId="23" xfId="0" applyNumberFormat="1" applyFont="1" applyFill="1" applyBorder="1"/>
    <xf numFmtId="44" fontId="5" fillId="11" borderId="23" xfId="0" applyNumberFormat="1" applyFont="1" applyFill="1" applyBorder="1"/>
    <xf numFmtId="44" fontId="5" fillId="4" borderId="23" xfId="0" applyNumberFormat="1" applyFont="1" applyFill="1" applyBorder="1"/>
    <xf numFmtId="0" fontId="5" fillId="13" borderId="22" xfId="0" applyFont="1" applyFill="1" applyBorder="1" applyAlignment="1">
      <alignment horizontal="left"/>
    </xf>
    <xf numFmtId="44" fontId="5" fillId="15" borderId="39" xfId="0" applyNumberFormat="1" applyFont="1" applyFill="1" applyBorder="1" applyAlignment="1">
      <alignment horizontal="center" vertical="center"/>
    </xf>
    <xf numFmtId="0" fontId="5" fillId="4" borderId="15" xfId="0" applyFont="1" applyFill="1" applyBorder="1" applyAlignment="1">
      <alignment horizontal="center" vertical="center"/>
    </xf>
    <xf numFmtId="44" fontId="5" fillId="4" borderId="15" xfId="0" applyNumberFormat="1" applyFont="1" applyFill="1" applyBorder="1" applyAlignment="1">
      <alignment horizontal="center" vertical="center"/>
    </xf>
    <xf numFmtId="44" fontId="5" fillId="4" borderId="28" xfId="0" applyNumberFormat="1" applyFont="1" applyFill="1" applyBorder="1"/>
    <xf numFmtId="44" fontId="19" fillId="15" borderId="39" xfId="0" applyNumberFormat="1" applyFont="1" applyFill="1" applyBorder="1" applyAlignment="1">
      <alignment horizontal="center" vertical="center"/>
    </xf>
    <xf numFmtId="164" fontId="13" fillId="0" borderId="37" xfId="0" applyNumberFormat="1" applyFont="1" applyBorder="1"/>
    <xf numFmtId="164" fontId="13" fillId="5" borderId="23" xfId="0" applyNumberFormat="1" applyFont="1" applyFill="1" applyBorder="1"/>
    <xf numFmtId="164" fontId="13" fillId="7" borderId="23" xfId="0" applyNumberFormat="1" applyFont="1" applyFill="1" applyBorder="1"/>
    <xf numFmtId="164" fontId="13" fillId="9" borderId="23" xfId="0" applyNumberFormat="1" applyFont="1" applyFill="1" applyBorder="1"/>
    <xf numFmtId="164" fontId="13" fillId="11" borderId="23" xfId="0" applyNumberFormat="1" applyFont="1" applyFill="1" applyBorder="1"/>
    <xf numFmtId="164" fontId="13" fillId="4" borderId="23" xfId="0" applyNumberFormat="1" applyFont="1" applyFill="1" applyBorder="1"/>
    <xf numFmtId="164" fontId="13" fillId="15" borderId="23" xfId="0" applyNumberFormat="1" applyFont="1" applyFill="1" applyBorder="1"/>
    <xf numFmtId="164" fontId="5" fillId="4" borderId="41" xfId="0" applyNumberFormat="1" applyFont="1" applyFill="1" applyBorder="1" applyAlignment="1">
      <alignment vertical="center"/>
    </xf>
    <xf numFmtId="164" fontId="5" fillId="4" borderId="15" xfId="0" applyNumberFormat="1" applyFont="1" applyFill="1" applyBorder="1" applyAlignment="1">
      <alignment horizontal="center" vertical="center"/>
    </xf>
    <xf numFmtId="164" fontId="5" fillId="4" borderId="28" xfId="0" applyNumberFormat="1" applyFont="1" applyFill="1" applyBorder="1" applyAlignment="1">
      <alignment horizontal="center" vertical="center"/>
    </xf>
    <xf numFmtId="164" fontId="13" fillId="3" borderId="23" xfId="0" applyNumberFormat="1" applyFont="1" applyFill="1" applyBorder="1"/>
    <xf numFmtId="0" fontId="8" fillId="0" borderId="46" xfId="0" applyFont="1" applyBorder="1" applyAlignment="1">
      <alignment vertical="center"/>
    </xf>
    <xf numFmtId="0" fontId="8" fillId="0" borderId="46" xfId="0" applyFont="1" applyBorder="1" applyAlignment="1">
      <alignment horizontal="left" vertical="center"/>
    </xf>
    <xf numFmtId="10" fontId="8" fillId="0" borderId="46" xfId="0" applyNumberFormat="1" applyFont="1" applyBorder="1" applyAlignment="1">
      <alignment horizontal="left" vertical="center"/>
    </xf>
    <xf numFmtId="0" fontId="8" fillId="3" borderId="46" xfId="0" applyFont="1" applyFill="1" applyBorder="1" applyAlignment="1">
      <alignment vertical="center"/>
    </xf>
    <xf numFmtId="0" fontId="5" fillId="0" borderId="49" xfId="0" applyFont="1" applyBorder="1" applyAlignment="1">
      <alignment horizontal="left" vertical="center"/>
    </xf>
    <xf numFmtId="0" fontId="4" fillId="2" borderId="17" xfId="0" applyFont="1" applyFill="1" applyBorder="1" applyAlignment="1">
      <alignment horizontal="center"/>
    </xf>
    <xf numFmtId="164" fontId="8" fillId="0" borderId="6" xfId="0" applyNumberFormat="1" applyFont="1" applyBorder="1"/>
    <xf numFmtId="0" fontId="6" fillId="0" borderId="47" xfId="0" applyFont="1" applyBorder="1"/>
    <xf numFmtId="0" fontId="12" fillId="0" borderId="48" xfId="0" applyFont="1" applyBorder="1"/>
    <xf numFmtId="0" fontId="4" fillId="2" borderId="42" xfId="0" applyFont="1" applyFill="1" applyBorder="1" applyAlignment="1">
      <alignment horizontal="center"/>
    </xf>
    <xf numFmtId="0" fontId="12" fillId="0" borderId="43" xfId="0" applyFont="1" applyBorder="1"/>
    <xf numFmtId="0" fontId="12" fillId="0" borderId="44" xfId="0" applyFont="1" applyBorder="1"/>
    <xf numFmtId="0" fontId="6" fillId="0" borderId="45" xfId="0" applyFont="1" applyBorder="1"/>
    <xf numFmtId="0" fontId="12" fillId="0" borderId="5" xfId="0" applyFont="1" applyBorder="1"/>
    <xf numFmtId="0" fontId="6" fillId="3" borderId="45" xfId="0" applyFont="1" applyFill="1" applyBorder="1"/>
    <xf numFmtId="0" fontId="5" fillId="0" borderId="36" xfId="0" applyFont="1" applyBorder="1" applyAlignment="1">
      <alignment horizontal="left"/>
    </xf>
    <xf numFmtId="0" fontId="12" fillId="0" borderId="8" xfId="0" applyFont="1" applyBorder="1"/>
    <xf numFmtId="0" fontId="12" fillId="0" borderId="9" xfId="0" applyFont="1" applyBorder="1"/>
    <xf numFmtId="0" fontId="4" fillId="2" borderId="31" xfId="0" applyFont="1" applyFill="1" applyBorder="1" applyAlignment="1">
      <alignment horizontal="center" vertical="center" wrapText="1"/>
    </xf>
    <xf numFmtId="0" fontId="4" fillId="2" borderId="40"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5" fillId="4" borderId="24" xfId="0" applyFont="1" applyFill="1" applyBorder="1" applyAlignment="1">
      <alignment horizontal="left"/>
    </xf>
    <xf numFmtId="0" fontId="12" fillId="0" borderId="25" xfId="0" applyFont="1" applyBorder="1"/>
    <xf numFmtId="0" fontId="12" fillId="0" borderId="27" xfId="0" applyFont="1" applyBorder="1"/>
    <xf numFmtId="0" fontId="5" fillId="9" borderId="22" xfId="0" applyFont="1" applyFill="1" applyBorder="1" applyAlignment="1">
      <alignment horizontal="left"/>
    </xf>
    <xf numFmtId="0" fontId="5" fillId="9" borderId="11" xfId="0" applyFont="1" applyFill="1" applyBorder="1" applyAlignment="1">
      <alignment horizontal="left"/>
    </xf>
    <xf numFmtId="0" fontId="5" fillId="9" borderId="12" xfId="0" applyFont="1" applyFill="1" applyBorder="1" applyAlignment="1">
      <alignment horizontal="left"/>
    </xf>
    <xf numFmtId="0" fontId="5" fillId="11" borderId="22" xfId="0" applyFont="1" applyFill="1" applyBorder="1" applyAlignment="1">
      <alignment horizontal="left"/>
    </xf>
    <xf numFmtId="0" fontId="5" fillId="11" borderId="11" xfId="0" applyFont="1" applyFill="1" applyBorder="1" applyAlignment="1">
      <alignment horizontal="left"/>
    </xf>
    <xf numFmtId="0" fontId="5" fillId="11" borderId="12" xfId="0" applyFont="1" applyFill="1" applyBorder="1" applyAlignment="1">
      <alignment horizontal="left"/>
    </xf>
    <xf numFmtId="0" fontId="5" fillId="4" borderId="22" xfId="0" applyFont="1" applyFill="1" applyBorder="1" applyAlignment="1">
      <alignment horizontal="left"/>
    </xf>
    <xf numFmtId="0" fontId="5" fillId="4" borderId="11" xfId="0" applyFont="1" applyFill="1" applyBorder="1" applyAlignment="1">
      <alignment horizontal="left"/>
    </xf>
    <xf numFmtId="0" fontId="5" fillId="4" borderId="12" xfId="0" applyFont="1" applyFill="1" applyBorder="1" applyAlignment="1">
      <alignment horizontal="left"/>
    </xf>
    <xf numFmtId="0" fontId="5" fillId="5" borderId="22" xfId="0" applyFont="1" applyFill="1" applyBorder="1" applyAlignment="1">
      <alignment horizontal="left"/>
    </xf>
    <xf numFmtId="0" fontId="5" fillId="5" borderId="11" xfId="0" applyFont="1" applyFill="1" applyBorder="1" applyAlignment="1">
      <alignment horizontal="left"/>
    </xf>
    <xf numFmtId="0" fontId="5" fillId="5" borderId="12" xfId="0" applyFont="1" applyFill="1" applyBorder="1" applyAlignment="1">
      <alignment horizontal="left"/>
    </xf>
    <xf numFmtId="0" fontId="5" fillId="7" borderId="22" xfId="0" applyFont="1" applyFill="1" applyBorder="1" applyAlignment="1">
      <alignment horizontal="left"/>
    </xf>
    <xf numFmtId="0" fontId="5" fillId="7" borderId="11" xfId="0" applyFont="1" applyFill="1" applyBorder="1" applyAlignment="1">
      <alignment horizontal="left"/>
    </xf>
    <xf numFmtId="0" fontId="5" fillId="7" borderId="12" xfId="0" applyFont="1" applyFill="1" applyBorder="1" applyAlignment="1">
      <alignment horizontal="left"/>
    </xf>
    <xf numFmtId="0" fontId="5" fillId="4" borderId="26" xfId="0" applyFont="1" applyFill="1" applyBorder="1" applyAlignment="1">
      <alignment horizontal="left" vertical="top"/>
    </xf>
    <xf numFmtId="0" fontId="5" fillId="4" borderId="25" xfId="0" applyFont="1" applyFill="1" applyBorder="1" applyAlignment="1">
      <alignment horizontal="left" vertical="top"/>
    </xf>
    <xf numFmtId="0" fontId="4" fillId="2" borderId="33" xfId="0" applyFont="1" applyFill="1" applyBorder="1" applyAlignment="1">
      <alignment horizontal="center" vertical="center" wrapText="1"/>
    </xf>
    <xf numFmtId="0" fontId="6" fillId="0" borderId="14" xfId="0" applyFont="1" applyBorder="1" applyAlignment="1">
      <alignment horizontal="left" vertical="top"/>
    </xf>
    <xf numFmtId="0" fontId="6" fillId="0" borderId="8" xfId="0" applyFont="1" applyBorder="1" applyAlignment="1">
      <alignment horizontal="left" vertical="top"/>
    </xf>
    <xf numFmtId="0" fontId="6" fillId="0" borderId="6" xfId="0" applyFont="1" applyBorder="1" applyAlignment="1">
      <alignment horizontal="left" vertical="top"/>
    </xf>
    <xf numFmtId="0" fontId="6" fillId="0" borderId="11" xfId="0" applyFont="1" applyBorder="1" applyAlignment="1">
      <alignment horizontal="left" vertical="top"/>
    </xf>
    <xf numFmtId="0" fontId="5" fillId="5" borderId="6" xfId="0" applyFont="1" applyFill="1" applyBorder="1" applyAlignment="1">
      <alignment horizontal="left" vertical="top"/>
    </xf>
    <xf numFmtId="0" fontId="5" fillId="5" borderId="11" xfId="0" applyFont="1" applyFill="1" applyBorder="1" applyAlignment="1">
      <alignment horizontal="left" vertical="top"/>
    </xf>
    <xf numFmtId="0" fontId="5" fillId="7" borderId="6" xfId="0" applyFont="1" applyFill="1" applyBorder="1" applyAlignment="1">
      <alignment horizontal="left" vertical="top"/>
    </xf>
    <xf numFmtId="0" fontId="5" fillId="7" borderId="11" xfId="0" applyFont="1" applyFill="1" applyBorder="1" applyAlignment="1">
      <alignment horizontal="left" vertical="top"/>
    </xf>
    <xf numFmtId="0" fontId="5" fillId="9" borderId="6" xfId="0" applyFont="1" applyFill="1" applyBorder="1" applyAlignment="1">
      <alignment horizontal="left" vertical="top"/>
    </xf>
    <xf numFmtId="0" fontId="5" fillId="9" borderId="11" xfId="0" applyFont="1" applyFill="1" applyBorder="1" applyAlignment="1">
      <alignment horizontal="left" vertical="top"/>
    </xf>
    <xf numFmtId="0" fontId="5" fillId="11" borderId="6" xfId="0" applyFont="1" applyFill="1" applyBorder="1" applyAlignment="1">
      <alignment horizontal="left" vertical="top"/>
    </xf>
    <xf numFmtId="0" fontId="5" fillId="11" borderId="11" xfId="0" applyFont="1" applyFill="1" applyBorder="1" applyAlignment="1">
      <alignment horizontal="left" vertical="top"/>
    </xf>
    <xf numFmtId="0" fontId="5" fillId="4" borderId="6" xfId="0" applyFont="1" applyFill="1" applyBorder="1" applyAlignment="1">
      <alignment horizontal="left" vertical="top"/>
    </xf>
    <xf numFmtId="0" fontId="5" fillId="4" borderId="11" xfId="0" applyFont="1" applyFill="1" applyBorder="1" applyAlignment="1">
      <alignment horizontal="left" vertical="top"/>
    </xf>
    <xf numFmtId="0" fontId="4" fillId="2" borderId="1" xfId="0" applyFont="1" applyFill="1" applyBorder="1" applyAlignment="1">
      <alignment horizontal="center"/>
    </xf>
    <xf numFmtId="0" fontId="12" fillId="0" borderId="2" xfId="0" applyFont="1" applyBorder="1"/>
    <xf numFmtId="0" fontId="12" fillId="0" borderId="3" xfId="0" applyFont="1" applyBorder="1"/>
    <xf numFmtId="0" fontId="2" fillId="0" borderId="31" xfId="0" applyFont="1" applyBorder="1" applyAlignment="1">
      <alignment horizontal="left" vertical="top" wrapText="1"/>
    </xf>
    <xf numFmtId="0" fontId="1" fillId="0" borderId="40" xfId="0" applyFont="1" applyBorder="1"/>
    <xf numFmtId="0" fontId="10" fillId="0" borderId="50" xfId="0" applyFont="1" applyBorder="1"/>
    <xf numFmtId="0" fontId="10" fillId="0" borderId="51" xfId="0" applyFont="1" applyBorder="1"/>
    <xf numFmtId="0" fontId="1" fillId="0" borderId="0" xfId="0" applyFont="1"/>
    <xf numFmtId="0" fontId="10" fillId="0" borderId="52" xfId="0" applyFont="1" applyBorder="1"/>
    <xf numFmtId="0" fontId="10" fillId="0" borderId="53" xfId="0" applyFont="1" applyBorder="1"/>
    <xf numFmtId="0" fontId="10" fillId="0" borderId="54" xfId="0" applyFont="1" applyBorder="1"/>
    <xf numFmtId="0" fontId="10" fillId="0" borderId="55" xfId="0" applyFont="1" applyBorder="1"/>
    <xf numFmtId="0" fontId="4" fillId="2" borderId="18" xfId="0" applyFont="1" applyFill="1" applyBorder="1" applyAlignment="1">
      <alignment horizontal="center"/>
    </xf>
    <xf numFmtId="0" fontId="4" fillId="2" borderId="17" xfId="0" applyFont="1" applyFill="1" applyBorder="1" applyAlignment="1">
      <alignment horizontal="center"/>
    </xf>
    <xf numFmtId="0" fontId="4" fillId="2" borderId="19" xfId="0" applyFont="1" applyFill="1" applyBorder="1" applyAlignment="1">
      <alignment horizontal="center"/>
    </xf>
    <xf numFmtId="0" fontId="12" fillId="0" borderId="32" xfId="0" applyFont="1" applyBorder="1"/>
    <xf numFmtId="0" fontId="5" fillId="4" borderId="36" xfId="0" applyFont="1" applyFill="1" applyBorder="1" applyAlignment="1">
      <alignment horizontal="left"/>
    </xf>
    <xf numFmtId="10" fontId="8" fillId="3" borderId="6" xfId="0" applyNumberFormat="1" applyFont="1" applyFill="1" applyBorder="1" applyAlignment="1">
      <alignment horizontal="right"/>
    </xf>
    <xf numFmtId="10" fontId="8" fillId="3" borderId="11" xfId="0" applyNumberFormat="1" applyFont="1" applyFill="1" applyBorder="1" applyAlignment="1">
      <alignment horizontal="right"/>
    </xf>
    <xf numFmtId="10" fontId="8" fillId="3" borderId="12" xfId="0" applyNumberFormat="1" applyFont="1" applyFill="1" applyBorder="1" applyAlignment="1">
      <alignment horizontal="right"/>
    </xf>
    <xf numFmtId="164" fontId="5" fillId="0" borderId="6" xfId="0" applyNumberFormat="1" applyFont="1" applyBorder="1" applyAlignment="1">
      <alignment horizontal="center"/>
    </xf>
    <xf numFmtId="164" fontId="5" fillId="0" borderId="11" xfId="0" applyNumberFormat="1" applyFont="1" applyBorder="1" applyAlignment="1">
      <alignment horizontal="center"/>
    </xf>
    <xf numFmtId="164" fontId="5" fillId="0" borderId="12" xfId="0" applyNumberFormat="1" applyFont="1" applyBorder="1" applyAlignment="1">
      <alignment horizontal="center"/>
    </xf>
    <xf numFmtId="10" fontId="5" fillId="0" borderId="26" xfId="1" applyNumberFormat="1" applyFont="1" applyBorder="1" applyAlignment="1">
      <alignment horizontal="right"/>
    </xf>
    <xf numFmtId="10" fontId="5" fillId="0" borderId="25" xfId="1" applyNumberFormat="1" applyFont="1" applyBorder="1" applyAlignment="1">
      <alignment horizontal="right"/>
    </xf>
    <xf numFmtId="10" fontId="5" fillId="0" borderId="27" xfId="1" applyNumberFormat="1" applyFont="1" applyBorder="1" applyAlignment="1">
      <alignment horizontal="right"/>
    </xf>
    <xf numFmtId="0" fontId="12" fillId="12" borderId="11" xfId="0" applyFont="1" applyFill="1" applyBorder="1"/>
    <xf numFmtId="0" fontId="12" fillId="12" borderId="12" xfId="0" applyFont="1" applyFill="1" applyBorder="1"/>
    <xf numFmtId="44" fontId="6" fillId="15" borderId="6" xfId="0" applyNumberFormat="1" applyFont="1" applyFill="1" applyBorder="1" applyAlignment="1">
      <alignment horizontal="center" vertical="center"/>
    </xf>
    <xf numFmtId="44" fontId="12" fillId="14" borderId="11" xfId="0" applyNumberFormat="1" applyFont="1" applyFill="1" applyBorder="1"/>
    <xf numFmtId="44" fontId="12" fillId="14" borderId="12" xfId="0" applyNumberFormat="1" applyFont="1" applyFill="1" applyBorder="1"/>
    <xf numFmtId="1" fontId="5" fillId="15" borderId="6" xfId="0" applyNumberFormat="1" applyFont="1" applyFill="1" applyBorder="1" applyAlignment="1">
      <alignment horizontal="center"/>
    </xf>
    <xf numFmtId="0" fontId="12" fillId="14" borderId="12" xfId="0" applyFont="1" applyFill="1" applyBorder="1"/>
    <xf numFmtId="41" fontId="5" fillId="4" borderId="26" xfId="0" applyNumberFormat="1" applyFont="1" applyFill="1" applyBorder="1" applyAlignment="1">
      <alignment horizontal="center" vertical="center"/>
    </xf>
    <xf numFmtId="41" fontId="12" fillId="0" borderId="27" xfId="0" applyNumberFormat="1" applyFont="1" applyBorder="1"/>
    <xf numFmtId="0" fontId="12" fillId="6" borderId="11" xfId="0" applyFont="1" applyFill="1" applyBorder="1"/>
    <xf numFmtId="0" fontId="12" fillId="6" borderId="12" xfId="0" applyFont="1" applyFill="1" applyBorder="1"/>
    <xf numFmtId="0" fontId="12" fillId="0" borderId="11" xfId="0" applyFont="1" applyBorder="1"/>
    <xf numFmtId="0" fontId="12" fillId="0" borderId="12" xfId="0" applyFont="1" applyBorder="1"/>
    <xf numFmtId="0" fontId="12" fillId="8" borderId="11" xfId="0" applyFont="1" applyFill="1" applyBorder="1"/>
    <xf numFmtId="0" fontId="12" fillId="8" borderId="12" xfId="0" applyFont="1" applyFill="1" applyBorder="1"/>
    <xf numFmtId="0" fontId="12" fillId="10" borderId="11" xfId="0" applyFont="1" applyFill="1" applyBorder="1"/>
    <xf numFmtId="0" fontId="12" fillId="10" borderId="12" xfId="0" applyFont="1" applyFill="1" applyBorder="1"/>
  </cellXfs>
  <cellStyles count="2">
    <cellStyle name="Normal" xfId="0" builtinId="0"/>
    <cellStyle name="Percent" xfId="1" builtinId="5"/>
  </cellStyles>
  <dxfs count="2">
    <dxf>
      <numFmt numFmtId="10" formatCode="&quot;$&quot;#,##0_);[Red]\(&quot;$&quot;#,##0\)"/>
      <fill>
        <patternFill patternType="none"/>
      </fill>
    </dxf>
    <dxf>
      <numFmt numFmtId="14" formatCode="0.00%"/>
      <fill>
        <patternFill patternType="none"/>
      </fill>
    </dxf>
  </dxfs>
  <tableStyles count="0" defaultTableStyle="TableStyleMedium2" defaultPivotStyle="PivotStyleLight16"/>
  <colors>
    <mruColors>
      <color rgb="FF0000FF"/>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6D85F-B8BD-413C-9302-A8BA69A471C7}">
  <sheetPr>
    <tabColor theme="9" tint="0.79998168889431442"/>
    <pageSetUpPr fitToPage="1"/>
  </sheetPr>
  <dimension ref="A1:M953"/>
  <sheetViews>
    <sheetView showGridLines="0" tabSelected="1" topLeftCell="A25" zoomScale="80" zoomScaleNormal="80" workbookViewId="0">
      <selection activeCell="H38" sqref="H38"/>
    </sheetView>
  </sheetViews>
  <sheetFormatPr defaultColWidth="12.58203125" defaultRowHeight="15" customHeight="1" outlineLevelRow="1" x14ac:dyDescent="0.35"/>
  <cols>
    <col min="1" max="1" width="1.58203125" style="1" customWidth="1"/>
    <col min="2" max="2" width="5.25" style="1" customWidth="1"/>
    <col min="3" max="3" width="38.33203125" style="1" customWidth="1"/>
    <col min="4" max="4" width="48.83203125" style="1" bestFit="1" customWidth="1"/>
    <col min="5" max="6" width="35.58203125" style="1" customWidth="1"/>
    <col min="7" max="12" width="16.58203125" style="1" customWidth="1"/>
    <col min="13" max="13" width="8" style="1" customWidth="1"/>
    <col min="14" max="16384" width="12.58203125" style="1"/>
  </cols>
  <sheetData>
    <row r="1" spans="1:13" ht="21" x14ac:dyDescent="0.5">
      <c r="A1" s="28" t="s">
        <v>139</v>
      </c>
      <c r="G1" s="3"/>
    </row>
    <row r="2" spans="1:13" ht="15" hidden="1" customHeight="1" outlineLevel="1" x14ac:dyDescent="0.35">
      <c r="G2" s="3"/>
      <c r="H2" s="3"/>
      <c r="I2" s="3"/>
      <c r="J2" s="3"/>
      <c r="K2" s="3"/>
      <c r="L2" s="3"/>
    </row>
    <row r="3" spans="1:13" ht="15" hidden="1" customHeight="1" outlineLevel="1" x14ac:dyDescent="0.35">
      <c r="G3" s="3"/>
      <c r="H3" s="3"/>
      <c r="I3" s="3"/>
      <c r="J3" s="3"/>
      <c r="K3" s="3"/>
      <c r="L3" s="3"/>
    </row>
    <row r="4" spans="1:13" ht="15" hidden="1" customHeight="1" outlineLevel="1" x14ac:dyDescent="0.35">
      <c r="G4" s="3"/>
      <c r="H4" s="3"/>
      <c r="I4" s="3"/>
      <c r="J4" s="3"/>
      <c r="K4" s="3"/>
      <c r="L4" s="3"/>
    </row>
    <row r="5" spans="1:13" ht="15" hidden="1" customHeight="1" outlineLevel="1" x14ac:dyDescent="0.35">
      <c r="G5" s="3"/>
      <c r="H5" s="3"/>
      <c r="I5" s="3"/>
      <c r="J5" s="3"/>
      <c r="K5" s="3"/>
      <c r="L5" s="3"/>
    </row>
    <row r="6" spans="1:13" ht="15" hidden="1" customHeight="1" outlineLevel="1" x14ac:dyDescent="0.35">
      <c r="G6" s="3"/>
      <c r="H6" s="3"/>
      <c r="I6" s="3"/>
      <c r="J6" s="3"/>
      <c r="K6" s="3"/>
      <c r="L6" s="3"/>
    </row>
    <row r="7" spans="1:13" ht="15" hidden="1" customHeight="1" outlineLevel="1" x14ac:dyDescent="0.35">
      <c r="G7" s="3"/>
      <c r="H7" s="3"/>
      <c r="I7" s="3"/>
      <c r="J7" s="3"/>
      <c r="K7" s="3"/>
      <c r="L7" s="3"/>
    </row>
    <row r="8" spans="1:13" ht="15" hidden="1" customHeight="1" outlineLevel="1" x14ac:dyDescent="0.35">
      <c r="G8" s="3"/>
      <c r="H8" s="3"/>
      <c r="I8" s="3"/>
      <c r="J8" s="3"/>
      <c r="K8" s="3"/>
      <c r="L8" s="3"/>
    </row>
    <row r="9" spans="1:13" ht="15" hidden="1" customHeight="1" outlineLevel="1" x14ac:dyDescent="0.35">
      <c r="G9" s="3"/>
    </row>
    <row r="10" spans="1:13" ht="15" hidden="1" customHeight="1" outlineLevel="1" x14ac:dyDescent="0.35">
      <c r="G10" s="3"/>
    </row>
    <row r="11" spans="1:13" ht="15" hidden="1" customHeight="1" outlineLevel="1" x14ac:dyDescent="0.35">
      <c r="G11" s="3"/>
    </row>
    <row r="12" spans="1:13" ht="15" hidden="1" customHeight="1" outlineLevel="1" x14ac:dyDescent="0.35">
      <c r="G12" s="3"/>
    </row>
    <row r="13" spans="1:13" ht="15" hidden="1" customHeight="1" outlineLevel="1" x14ac:dyDescent="0.35">
      <c r="G13" s="3"/>
    </row>
    <row r="14" spans="1:13" ht="15" hidden="1" customHeight="1" outlineLevel="1" x14ac:dyDescent="0.35">
      <c r="G14" s="3"/>
    </row>
    <row r="15" spans="1:13" ht="15" hidden="1" customHeight="1" outlineLevel="1" x14ac:dyDescent="0.35">
      <c r="G15" s="3"/>
    </row>
    <row r="16" spans="1:13" ht="15" customHeight="1" collapsed="1" thickBot="1" x14ac:dyDescent="0.4">
      <c r="E16" s="18"/>
      <c r="F16" s="18"/>
      <c r="G16" s="18"/>
      <c r="H16" s="18"/>
      <c r="I16" s="18"/>
      <c r="J16" s="18"/>
      <c r="K16" s="18"/>
      <c r="L16" s="18"/>
      <c r="M16" s="18"/>
    </row>
    <row r="17" spans="1:13" ht="15" customHeight="1" x14ac:dyDescent="0.35">
      <c r="B17" s="130" t="s">
        <v>1</v>
      </c>
      <c r="C17" s="131"/>
      <c r="D17" s="132"/>
      <c r="E17" s="18"/>
      <c r="F17" s="18"/>
      <c r="G17" s="18"/>
      <c r="H17" s="18"/>
      <c r="I17" s="18"/>
      <c r="J17" s="18"/>
      <c r="K17" s="18"/>
      <c r="L17" s="18"/>
      <c r="M17" s="18"/>
    </row>
    <row r="18" spans="1:13" s="18" customFormat="1" ht="24" customHeight="1" x14ac:dyDescent="0.35">
      <c r="A18" s="1"/>
      <c r="B18" s="133" t="s">
        <v>2</v>
      </c>
      <c r="C18" s="134"/>
      <c r="D18" s="121" t="s">
        <v>106</v>
      </c>
    </row>
    <row r="19" spans="1:13" s="18" customFormat="1" ht="24" customHeight="1" x14ac:dyDescent="0.35">
      <c r="A19" s="1"/>
      <c r="B19" s="133" t="s">
        <v>3</v>
      </c>
      <c r="C19" s="134"/>
      <c r="D19" s="122">
        <v>100</v>
      </c>
    </row>
    <row r="20" spans="1:13" s="18" customFormat="1" ht="24" customHeight="1" x14ac:dyDescent="0.35">
      <c r="A20" s="1"/>
      <c r="B20" s="133" t="s">
        <v>4</v>
      </c>
      <c r="C20" s="134"/>
      <c r="D20" s="123">
        <v>7.2499999999999995E-2</v>
      </c>
    </row>
    <row r="21" spans="1:13" s="18" customFormat="1" ht="24" customHeight="1" x14ac:dyDescent="0.35">
      <c r="A21" s="1"/>
      <c r="B21" s="133" t="s">
        <v>5</v>
      </c>
      <c r="C21" s="134"/>
      <c r="D21" s="121"/>
    </row>
    <row r="22" spans="1:13" s="18" customFormat="1" ht="24" customHeight="1" x14ac:dyDescent="0.35">
      <c r="A22" s="1"/>
      <c r="B22" s="135" t="s">
        <v>6</v>
      </c>
      <c r="C22" s="134"/>
      <c r="D22" s="124"/>
    </row>
    <row r="23" spans="1:13" s="18" customFormat="1" ht="24" customHeight="1" thickBot="1" x14ac:dyDescent="0.4">
      <c r="A23" s="1"/>
      <c r="B23" s="128" t="s">
        <v>105</v>
      </c>
      <c r="C23" s="129"/>
      <c r="D23" s="125" t="s">
        <v>103</v>
      </c>
    </row>
    <row r="24" spans="1:13" ht="14.25" customHeight="1" x14ac:dyDescent="0.35"/>
    <row r="25" spans="1:13" ht="24" thickBot="1" x14ac:dyDescent="0.6">
      <c r="B25" s="4" t="s">
        <v>8</v>
      </c>
      <c r="C25" s="5"/>
      <c r="D25" s="5"/>
      <c r="E25" s="5"/>
      <c r="F25" s="5"/>
      <c r="G25" s="5"/>
      <c r="H25" s="5"/>
      <c r="I25" s="5"/>
      <c r="J25" s="5"/>
      <c r="K25" s="5"/>
      <c r="L25" s="5"/>
    </row>
    <row r="26" spans="1:13" thickBot="1" x14ac:dyDescent="0.4">
      <c r="F26" s="2"/>
      <c r="G26" s="3"/>
    </row>
    <row r="27" spans="1:13" s="18" customFormat="1" ht="15.5" x14ac:dyDescent="0.35">
      <c r="B27" s="48"/>
      <c r="C27" s="49"/>
      <c r="D27" s="49"/>
      <c r="E27" s="49"/>
      <c r="F27" s="126">
        <v>2023</v>
      </c>
      <c r="G27" s="50" t="str">
        <f>D23</f>
        <v>2024-2028</v>
      </c>
      <c r="H27" s="51">
        <v>2024</v>
      </c>
      <c r="I27" s="51">
        <f t="shared" ref="I27:L27" si="0">H27+1</f>
        <v>2025</v>
      </c>
      <c r="J27" s="51">
        <f t="shared" si="0"/>
        <v>2026</v>
      </c>
      <c r="K27" s="51">
        <f t="shared" si="0"/>
        <v>2027</v>
      </c>
      <c r="L27" s="52">
        <f t="shared" si="0"/>
        <v>2028</v>
      </c>
    </row>
    <row r="28" spans="1:13" s="18" customFormat="1" ht="17.149999999999999" customHeight="1" x14ac:dyDescent="0.35">
      <c r="B28" s="53" t="s">
        <v>22</v>
      </c>
      <c r="C28" s="54"/>
      <c r="D28" s="54"/>
      <c r="E28" s="54"/>
      <c r="F28" s="127" t="s">
        <v>140</v>
      </c>
      <c r="G28" s="69">
        <f>SUM(H28:L28)</f>
        <v>6000000</v>
      </c>
      <c r="H28" s="70">
        <f>SUM('2024 Capex Plan'!$I$28:$T$28)</f>
        <v>1200000</v>
      </c>
      <c r="I28" s="70">
        <f>SUM('2025 Capex Plan'!$I$28:$T$28)</f>
        <v>1200000</v>
      </c>
      <c r="J28" s="70">
        <f>SUM('2026 Capex Plan'!$I$28:$T$28)</f>
        <v>1200000</v>
      </c>
      <c r="K28" s="70">
        <f>SUM('2027 Capex Plan'!$I$28:$T$28)</f>
        <v>1200000</v>
      </c>
      <c r="L28" s="120">
        <f>SUM('2028 Capex Plan'!$I$28:$T$28)</f>
        <v>1200000</v>
      </c>
    </row>
    <row r="29" spans="1:13" s="18" customFormat="1" ht="17.149999999999999" customHeight="1" x14ac:dyDescent="0.35">
      <c r="B29" s="53" t="s">
        <v>23</v>
      </c>
      <c r="C29" s="54"/>
      <c r="D29" s="54"/>
      <c r="E29" s="54"/>
      <c r="F29" s="30">
        <f>$G$29</f>
        <v>0.04</v>
      </c>
      <c r="G29" s="30">
        <f>AVERAGE('2024 Capex Plan'!F29,'2025 Capex Plan'!F29,'2026 Capex Plan'!F29,'2027 Capex Plan'!F29,'2028 Capex Plan'!F29)</f>
        <v>0.04</v>
      </c>
      <c r="H29" s="17">
        <f>$G$29</f>
        <v>0.04</v>
      </c>
      <c r="I29" s="17">
        <f>$G$29</f>
        <v>0.04</v>
      </c>
      <c r="J29" s="17">
        <f>$G$29</f>
        <v>0.04</v>
      </c>
      <c r="K29" s="17">
        <f>$G$29</f>
        <v>0.04</v>
      </c>
      <c r="L29" s="55">
        <f>$G$29</f>
        <v>0.04</v>
      </c>
    </row>
    <row r="30" spans="1:13" s="18" customFormat="1" ht="17.149999999999999" customHeight="1" x14ac:dyDescent="0.35">
      <c r="B30" s="53" t="s">
        <v>138</v>
      </c>
      <c r="C30" s="54"/>
      <c r="D30" s="54"/>
      <c r="E30" s="54"/>
      <c r="F30" s="69" t="e">
        <f>F28*F29</f>
        <v>#VALUE!</v>
      </c>
      <c r="G30" s="69">
        <f>G28*G29</f>
        <v>240000</v>
      </c>
      <c r="H30" s="66">
        <f>H28*H29</f>
        <v>48000</v>
      </c>
      <c r="I30" s="66">
        <f t="shared" ref="I30:L30" si="1">I28*I29</f>
        <v>48000</v>
      </c>
      <c r="J30" s="66">
        <f t="shared" si="1"/>
        <v>48000</v>
      </c>
      <c r="K30" s="66">
        <f t="shared" si="1"/>
        <v>48000</v>
      </c>
      <c r="L30" s="71">
        <f t="shared" si="1"/>
        <v>48000</v>
      </c>
    </row>
    <row r="31" spans="1:13" s="18" customFormat="1" ht="17.149999999999999" customHeight="1" x14ac:dyDescent="0.35">
      <c r="B31" s="53" t="s">
        <v>120</v>
      </c>
      <c r="C31" s="54"/>
      <c r="D31" s="54"/>
      <c r="E31" s="54"/>
      <c r="F31" s="127" t="s">
        <v>141</v>
      </c>
      <c r="G31" s="69">
        <f>SUM(H31:L31)</f>
        <v>175628.20275</v>
      </c>
      <c r="H31" s="66">
        <f>H50</f>
        <v>35125.640549999996</v>
      </c>
      <c r="I31" s="66">
        <f t="shared" ref="I31:L31" si="2">I50</f>
        <v>35125.640549999996</v>
      </c>
      <c r="J31" s="66">
        <f t="shared" si="2"/>
        <v>35125.640549999996</v>
      </c>
      <c r="K31" s="66">
        <f t="shared" si="2"/>
        <v>35125.640549999996</v>
      </c>
      <c r="L31" s="71">
        <f t="shared" si="2"/>
        <v>35125.640549999996</v>
      </c>
    </row>
    <row r="32" spans="1:13" s="18" customFormat="1" ht="17.149999999999999" customHeight="1" x14ac:dyDescent="0.35">
      <c r="B32" s="53" t="s">
        <v>135</v>
      </c>
      <c r="C32" s="54"/>
      <c r="D32" s="54"/>
      <c r="E32" s="54"/>
      <c r="F32" s="69" t="e">
        <f>F30-F31</f>
        <v>#VALUE!</v>
      </c>
      <c r="G32" s="69">
        <f t="shared" ref="G32:L32" si="3">G30-G31</f>
        <v>64371.797250000003</v>
      </c>
      <c r="H32" s="69">
        <f t="shared" si="3"/>
        <v>12874.359450000004</v>
      </c>
      <c r="I32" s="69">
        <f t="shared" si="3"/>
        <v>12874.359450000004</v>
      </c>
      <c r="J32" s="69">
        <f t="shared" si="3"/>
        <v>12874.359450000004</v>
      </c>
      <c r="K32" s="69">
        <f t="shared" si="3"/>
        <v>12874.359450000004</v>
      </c>
      <c r="L32" s="71">
        <f t="shared" si="3"/>
        <v>12874.359450000004</v>
      </c>
    </row>
    <row r="33" spans="2:13" s="18" customFormat="1" ht="17.149999999999999" customHeight="1" thickBot="1" x14ac:dyDescent="0.4">
      <c r="B33" s="56" t="s">
        <v>142</v>
      </c>
      <c r="C33" s="57"/>
      <c r="D33" s="57"/>
      <c r="E33" s="57"/>
      <c r="F33" s="73" t="e">
        <f t="shared" ref="F33:L33" si="4">F31/F28</f>
        <v>#VALUE!</v>
      </c>
      <c r="G33" s="73">
        <f t="shared" si="4"/>
        <v>2.9271367124999999E-2</v>
      </c>
      <c r="H33" s="64">
        <f t="shared" si="4"/>
        <v>2.9271367124999996E-2</v>
      </c>
      <c r="I33" s="64">
        <f t="shared" si="4"/>
        <v>2.9271367124999996E-2</v>
      </c>
      <c r="J33" s="64">
        <f t="shared" si="4"/>
        <v>2.9271367124999996E-2</v>
      </c>
      <c r="K33" s="64">
        <f t="shared" si="4"/>
        <v>2.9271367124999996E-2</v>
      </c>
      <c r="L33" s="72">
        <f t="shared" si="4"/>
        <v>2.9271367124999996E-2</v>
      </c>
    </row>
    <row r="34" spans="2:13" s="18" customFormat="1" ht="15.5" x14ac:dyDescent="0.35">
      <c r="F34" s="19"/>
      <c r="G34" s="20"/>
    </row>
    <row r="35" spans="2:13" s="18" customFormat="1" ht="19" thickBot="1" x14ac:dyDescent="0.5">
      <c r="B35" s="29" t="str">
        <f>D23&amp;" "&amp;  D18 &amp; " " &amp; "Non-PIP Capital Plan"</f>
        <v>2024-2028 Hotel Non-PIP Capital Plan</v>
      </c>
      <c r="C35" s="21"/>
      <c r="D35" s="21"/>
      <c r="E35" s="21"/>
      <c r="F35" s="22"/>
      <c r="G35" s="23"/>
      <c r="H35" s="21"/>
      <c r="I35" s="21"/>
      <c r="J35" s="21"/>
      <c r="K35" s="21"/>
      <c r="L35" s="21"/>
    </row>
    <row r="36" spans="2:13" s="18" customFormat="1" ht="16" thickBot="1" x14ac:dyDescent="0.4">
      <c r="F36" s="19"/>
      <c r="G36" s="20"/>
    </row>
    <row r="37" spans="2:13" s="18" customFormat="1" ht="15.5" x14ac:dyDescent="0.35">
      <c r="B37" s="139" t="s">
        <v>25</v>
      </c>
      <c r="C37" s="140"/>
      <c r="D37" s="141"/>
      <c r="E37" s="162" t="s">
        <v>26</v>
      </c>
      <c r="F37" s="140"/>
      <c r="G37" s="51" t="str">
        <f>G27</f>
        <v>2024-2028</v>
      </c>
      <c r="H37" s="51">
        <v>2024</v>
      </c>
      <c r="I37" s="51">
        <f t="shared" ref="I37:L37" si="5">H37+1</f>
        <v>2025</v>
      </c>
      <c r="J37" s="51">
        <f t="shared" si="5"/>
        <v>2026</v>
      </c>
      <c r="K37" s="51">
        <f t="shared" si="5"/>
        <v>2027</v>
      </c>
      <c r="L37" s="52">
        <f t="shared" si="5"/>
        <v>2028</v>
      </c>
      <c r="M37" s="24"/>
    </row>
    <row r="38" spans="2:13" s="18" customFormat="1" ht="20.149999999999999" customHeight="1" x14ac:dyDescent="0.35">
      <c r="B38" s="136" t="s">
        <v>35</v>
      </c>
      <c r="C38" s="137"/>
      <c r="D38" s="138"/>
      <c r="E38" s="163"/>
      <c r="F38" s="164"/>
      <c r="G38" s="74">
        <f>SUM(H38:L38)</f>
        <v>68417.724374999991</v>
      </c>
      <c r="H38" s="75">
        <f>'2024 Capex Plan'!$L$37</f>
        <v>13683.544875</v>
      </c>
      <c r="I38" s="75">
        <f>'2025 Capex Plan'!$L$37</f>
        <v>13683.544875</v>
      </c>
      <c r="J38" s="75">
        <f>'2026 Capex Plan'!$L$37</f>
        <v>13683.544875</v>
      </c>
      <c r="K38" s="75">
        <f>'2027 Capex Plan'!$L$37</f>
        <v>13683.544875</v>
      </c>
      <c r="L38" s="110">
        <f>'2028 Capex Plan'!$L$37</f>
        <v>13683.544875</v>
      </c>
    </row>
    <row r="39" spans="2:13" s="18" customFormat="1" ht="20.149999999999999" customHeight="1" x14ac:dyDescent="0.35">
      <c r="B39" s="136" t="s">
        <v>46</v>
      </c>
      <c r="C39" s="137"/>
      <c r="D39" s="138"/>
      <c r="E39" s="165"/>
      <c r="F39" s="166"/>
      <c r="G39" s="74">
        <f t="shared" ref="G39:G47" si="6">SUM(H39:L39)</f>
        <v>36041.630625000005</v>
      </c>
      <c r="H39" s="75">
        <f>'2024 Capex Plan'!$L$50</f>
        <v>7208.3261250000005</v>
      </c>
      <c r="I39" s="75">
        <f>'2025 Capex Plan'!$L$50</f>
        <v>7208.3261250000005</v>
      </c>
      <c r="J39" s="75">
        <f>'2026 Capex Plan'!$L$50</f>
        <v>7208.3261250000005</v>
      </c>
      <c r="K39" s="75">
        <f>'2027 Capex Plan'!$L$50</f>
        <v>7208.3261250000005</v>
      </c>
      <c r="L39" s="110">
        <f>'2028 Capex Plan'!$L$50</f>
        <v>7208.3261250000005</v>
      </c>
    </row>
    <row r="40" spans="2:13" s="18" customFormat="1" ht="20.149999999999999" customHeight="1" x14ac:dyDescent="0.35">
      <c r="B40" s="136" t="s">
        <v>57</v>
      </c>
      <c r="C40" s="137"/>
      <c r="D40" s="138"/>
      <c r="E40" s="165"/>
      <c r="F40" s="166"/>
      <c r="G40" s="74">
        <f t="shared" si="6"/>
        <v>3384.0056249999998</v>
      </c>
      <c r="H40" s="75">
        <f>'2024 Capex Plan'!$L$63</f>
        <v>676.80112499999996</v>
      </c>
      <c r="I40" s="75">
        <f>'2025 Capex Plan'!$L$63</f>
        <v>676.80112499999996</v>
      </c>
      <c r="J40" s="75">
        <f>'2026 Capex Plan'!$L$63</f>
        <v>676.80112499999996</v>
      </c>
      <c r="K40" s="75">
        <f>'2027 Capex Plan'!$L$63</f>
        <v>676.80112499999996</v>
      </c>
      <c r="L40" s="110">
        <f>'2028 Capex Plan'!$L$63</f>
        <v>676.80112499999996</v>
      </c>
    </row>
    <row r="41" spans="2:13" s="18" customFormat="1" ht="20.149999999999999" customHeight="1" x14ac:dyDescent="0.35">
      <c r="B41" s="136" t="s">
        <v>68</v>
      </c>
      <c r="C41" s="137"/>
      <c r="D41" s="138"/>
      <c r="E41" s="165"/>
      <c r="F41" s="166"/>
      <c r="G41" s="74">
        <f t="shared" si="6"/>
        <v>33789.380625000005</v>
      </c>
      <c r="H41" s="75">
        <f>'2024 Capex Plan'!$L$76</f>
        <v>6757.8761250000007</v>
      </c>
      <c r="I41" s="75">
        <f>'2025 Capex Plan'!$L$76</f>
        <v>6757.8761250000007</v>
      </c>
      <c r="J41" s="75">
        <f>'2026 Capex Plan'!$L$76</f>
        <v>6757.8761250000007</v>
      </c>
      <c r="K41" s="75">
        <f>'2027 Capex Plan'!$L$76</f>
        <v>6757.8761250000007</v>
      </c>
      <c r="L41" s="110">
        <f>'2028 Capex Plan'!$L$76</f>
        <v>6757.8761250000007</v>
      </c>
    </row>
    <row r="42" spans="2:13" s="18" customFormat="1" ht="20.149999999999999" customHeight="1" x14ac:dyDescent="0.35">
      <c r="B42" s="136" t="s">
        <v>79</v>
      </c>
      <c r="C42" s="137"/>
      <c r="D42" s="138"/>
      <c r="E42" s="165"/>
      <c r="F42" s="166"/>
      <c r="G42" s="74">
        <f t="shared" si="6"/>
        <v>9014.6306249999998</v>
      </c>
      <c r="H42" s="75">
        <f>'2024 Capex Plan'!$L$89</f>
        <v>1802.926125</v>
      </c>
      <c r="I42" s="75">
        <f>'2025 Capex Plan'!$L$89</f>
        <v>1802.926125</v>
      </c>
      <c r="J42" s="75">
        <f>'2026 Capex Plan'!$L$89</f>
        <v>1802.926125</v>
      </c>
      <c r="K42" s="75">
        <f>'2027 Capex Plan'!$L$89</f>
        <v>1802.926125</v>
      </c>
      <c r="L42" s="110">
        <f>'2028 Capex Plan'!$L$89</f>
        <v>1802.926125</v>
      </c>
    </row>
    <row r="43" spans="2:13" s="18" customFormat="1" ht="20.149999999999999" customHeight="1" x14ac:dyDescent="0.35">
      <c r="B43" s="136" t="s">
        <v>90</v>
      </c>
      <c r="C43" s="137"/>
      <c r="D43" s="138"/>
      <c r="E43" s="165"/>
      <c r="F43" s="166"/>
      <c r="G43" s="74">
        <f t="shared" si="6"/>
        <v>9014.6306249999998</v>
      </c>
      <c r="H43" s="75">
        <f>'2024 Capex Plan'!$L$102</f>
        <v>1802.926125</v>
      </c>
      <c r="I43" s="75">
        <f>'2025 Capex Plan'!$L$102</f>
        <v>1802.926125</v>
      </c>
      <c r="J43" s="75">
        <f>'2026 Capex Plan'!$L$102</f>
        <v>1802.926125</v>
      </c>
      <c r="K43" s="75">
        <f>'2027 Capex Plan'!$L$102</f>
        <v>1802.926125</v>
      </c>
      <c r="L43" s="110">
        <f>'2028 Capex Plan'!$L$102</f>
        <v>1802.926125</v>
      </c>
    </row>
    <row r="44" spans="2:13" s="18" customFormat="1" ht="20.149999999999999" customHeight="1" x14ac:dyDescent="0.35">
      <c r="B44" s="154" t="s">
        <v>113</v>
      </c>
      <c r="C44" s="155"/>
      <c r="D44" s="156"/>
      <c r="E44" s="167"/>
      <c r="F44" s="168"/>
      <c r="G44" s="76">
        <f t="shared" si="6"/>
        <v>77432.354999999996</v>
      </c>
      <c r="H44" s="77">
        <f>'2024 Capex Plan'!$L$115</f>
        <v>15486.471</v>
      </c>
      <c r="I44" s="77">
        <f>'2025 Capex Plan'!$L$115</f>
        <v>15486.471</v>
      </c>
      <c r="J44" s="77">
        <f>'2026 Capex Plan'!$L$115</f>
        <v>15486.471</v>
      </c>
      <c r="K44" s="77">
        <f>'2027 Capex Plan'!$L$115</f>
        <v>15486.471</v>
      </c>
      <c r="L44" s="111">
        <f>'2028 Capex Plan'!$L$115</f>
        <v>15486.471</v>
      </c>
    </row>
    <row r="45" spans="2:13" s="18" customFormat="1" ht="20.149999999999999" customHeight="1" x14ac:dyDescent="0.35">
      <c r="B45" s="157" t="s">
        <v>117</v>
      </c>
      <c r="C45" s="158"/>
      <c r="D45" s="159"/>
      <c r="E45" s="169"/>
      <c r="F45" s="170"/>
      <c r="G45" s="78">
        <f t="shared" si="6"/>
        <v>45056.26125000001</v>
      </c>
      <c r="H45" s="79">
        <f>'2024 Capex Plan'!$L$116</f>
        <v>9011.2522500000014</v>
      </c>
      <c r="I45" s="79">
        <f>'2025 Capex Plan'!$L$116</f>
        <v>9011.2522500000014</v>
      </c>
      <c r="J45" s="79">
        <f>'2026 Capex Plan'!$L$116</f>
        <v>9011.2522500000014</v>
      </c>
      <c r="K45" s="79">
        <f>'2027 Capex Plan'!$L$116</f>
        <v>9011.2522500000014</v>
      </c>
      <c r="L45" s="112">
        <f>'2028 Capex Plan'!$L$116</f>
        <v>9011.2522500000014</v>
      </c>
    </row>
    <row r="46" spans="2:13" s="18" customFormat="1" ht="20.149999999999999" customHeight="1" x14ac:dyDescent="0.35">
      <c r="B46" s="145" t="s">
        <v>114</v>
      </c>
      <c r="C46" s="146"/>
      <c r="D46" s="147"/>
      <c r="E46" s="171"/>
      <c r="F46" s="172"/>
      <c r="G46" s="80">
        <f t="shared" si="6"/>
        <v>3384.0056249999998</v>
      </c>
      <c r="H46" s="81">
        <f>'2024 Capex Plan'!$L$117</f>
        <v>676.80112499999996</v>
      </c>
      <c r="I46" s="81">
        <f>'2025 Capex Plan'!$L$117</f>
        <v>676.80112499999996</v>
      </c>
      <c r="J46" s="81">
        <f>'2026 Capex Plan'!$L$117</f>
        <v>676.80112499999996</v>
      </c>
      <c r="K46" s="81">
        <f>'2027 Capex Plan'!$L$117</f>
        <v>676.80112499999996</v>
      </c>
      <c r="L46" s="113">
        <f>'2028 Capex Plan'!$L$117</f>
        <v>676.80112499999996</v>
      </c>
    </row>
    <row r="47" spans="2:13" s="18" customFormat="1" ht="20.149999999999999" customHeight="1" x14ac:dyDescent="0.35">
      <c r="B47" s="148" t="s">
        <v>115</v>
      </c>
      <c r="C47" s="149"/>
      <c r="D47" s="150"/>
      <c r="E47" s="173"/>
      <c r="F47" s="174"/>
      <c r="G47" s="82">
        <f t="shared" si="6"/>
        <v>33789.380625000005</v>
      </c>
      <c r="H47" s="83">
        <f>'2024 Capex Plan'!$L$118</f>
        <v>6757.8761250000007</v>
      </c>
      <c r="I47" s="83">
        <f>'2025 Capex Plan'!$L$118</f>
        <v>6757.8761250000007</v>
      </c>
      <c r="J47" s="83">
        <f>'2026 Capex Plan'!$L$118</f>
        <v>6757.8761250000007</v>
      </c>
      <c r="K47" s="83">
        <f>'2027 Capex Plan'!$L$118</f>
        <v>6757.8761250000007</v>
      </c>
      <c r="L47" s="114">
        <f>'2028 Capex Plan'!$L$118</f>
        <v>6757.8761250000007</v>
      </c>
    </row>
    <row r="48" spans="2:13" s="18" customFormat="1" ht="20.149999999999999" customHeight="1" x14ac:dyDescent="0.35">
      <c r="B48" s="151" t="s">
        <v>116</v>
      </c>
      <c r="C48" s="152"/>
      <c r="D48" s="153"/>
      <c r="E48" s="175"/>
      <c r="F48" s="176"/>
      <c r="G48" s="84">
        <f>SUM(H48:L48)</f>
        <v>159662.00249999997</v>
      </c>
      <c r="H48" s="85">
        <f>'2024 Capex Plan'!$L$119</f>
        <v>31932.400499999996</v>
      </c>
      <c r="I48" s="85">
        <f>'2025 Capex Plan'!$L$119</f>
        <v>31932.400499999996</v>
      </c>
      <c r="J48" s="85">
        <f>'2026 Capex Plan'!$L$119</f>
        <v>31932.400499999996</v>
      </c>
      <c r="K48" s="85">
        <f>'2027 Capex Plan'!$L$119</f>
        <v>31932.400499999996</v>
      </c>
      <c r="L48" s="115">
        <f>'2028 Capex Plan'!$L$119</f>
        <v>31932.400499999996</v>
      </c>
    </row>
    <row r="49" spans="2:12" s="18" customFormat="1" ht="20.149999999999999" customHeight="1" x14ac:dyDescent="0.35">
      <c r="B49" s="104" t="s">
        <v>104</v>
      </c>
      <c r="C49" s="43"/>
      <c r="D49" s="44" t="s">
        <v>118</v>
      </c>
      <c r="E49" s="58">
        <f>AVERAGE('2024 Capex Plan'!E120,'2025 Capex Plan'!E120,'2026 Capex Plan'!E120,'2027 Capex Plan'!E120,'2028 Capex Plan'!E120)</f>
        <v>0.1</v>
      </c>
      <c r="F49" s="65" t="str">
        <f>IF(D49="Method - $ per Key","Per Key",IF(D19="Method - $ Allowance","Total",""))</f>
        <v/>
      </c>
      <c r="G49" s="86">
        <f>SUM(H49:L49)</f>
        <v>15966.20025</v>
      </c>
      <c r="H49" s="87">
        <f>'2024 Capex Plan'!$L$120</f>
        <v>3193.2400499999999</v>
      </c>
      <c r="I49" s="88">
        <f>'2025 Capex Plan'!$L$120</f>
        <v>3193.2400499999999</v>
      </c>
      <c r="J49" s="89">
        <f>'2026 Capex Plan'!$L$120</f>
        <v>3193.2400499999999</v>
      </c>
      <c r="K49" s="90">
        <f>'2027 Capex Plan'!$L$120</f>
        <v>3193.2400499999999</v>
      </c>
      <c r="L49" s="116">
        <f>'2028 Capex Plan'!$L$120</f>
        <v>3193.2400499999999</v>
      </c>
    </row>
    <row r="50" spans="2:12" s="18" customFormat="1" ht="20.149999999999999" customHeight="1" thickBot="1" x14ac:dyDescent="0.4">
      <c r="B50" s="142" t="s">
        <v>109</v>
      </c>
      <c r="C50" s="143"/>
      <c r="D50" s="144"/>
      <c r="E50" s="160"/>
      <c r="F50" s="161"/>
      <c r="G50" s="117">
        <f>SUM(H50:L50)</f>
        <v>175628.20275</v>
      </c>
      <c r="H50" s="118">
        <f>SUM(H48:H49)</f>
        <v>35125.640549999996</v>
      </c>
      <c r="I50" s="118">
        <f t="shared" ref="I50:L50" si="7">SUM(I48:I49)</f>
        <v>35125.640549999996</v>
      </c>
      <c r="J50" s="118">
        <f t="shared" si="7"/>
        <v>35125.640549999996</v>
      </c>
      <c r="K50" s="118">
        <f t="shared" si="7"/>
        <v>35125.640549999996</v>
      </c>
      <c r="L50" s="119">
        <f t="shared" si="7"/>
        <v>35125.640549999996</v>
      </c>
    </row>
    <row r="51" spans="2:12" s="18" customFormat="1" ht="15.5" x14ac:dyDescent="0.35">
      <c r="B51" s="25"/>
      <c r="C51" s="25"/>
      <c r="D51" s="25"/>
      <c r="E51" s="25"/>
      <c r="F51" s="19"/>
      <c r="G51" s="20"/>
      <c r="H51" s="27"/>
      <c r="I51" s="27"/>
      <c r="J51" s="27"/>
      <c r="K51" s="27"/>
      <c r="L51" s="27"/>
    </row>
    <row r="52" spans="2:12" s="18" customFormat="1" ht="15.5" x14ac:dyDescent="0.35">
      <c r="F52" s="19"/>
      <c r="G52" s="20"/>
      <c r="H52" s="27"/>
      <c r="I52" s="27"/>
      <c r="J52" s="27"/>
      <c r="K52" s="27"/>
      <c r="L52" s="27"/>
    </row>
    <row r="53" spans="2:12" s="18" customFormat="1" ht="15.5" x14ac:dyDescent="0.35">
      <c r="F53" s="19"/>
      <c r="G53" s="20"/>
      <c r="H53" s="27"/>
      <c r="I53" s="27"/>
      <c r="J53" s="27"/>
      <c r="K53" s="27"/>
      <c r="L53" s="27"/>
    </row>
    <row r="54" spans="2:12" s="18" customFormat="1" ht="15.5" x14ac:dyDescent="0.35">
      <c r="F54" s="19"/>
      <c r="G54" s="20"/>
      <c r="H54" s="27"/>
      <c r="I54" s="27"/>
      <c r="J54" s="27"/>
      <c r="K54" s="27"/>
      <c r="L54" s="27"/>
    </row>
    <row r="55" spans="2:12" s="18" customFormat="1" ht="15.5" x14ac:dyDescent="0.35">
      <c r="F55" s="19"/>
      <c r="G55" s="20"/>
      <c r="H55" s="27"/>
      <c r="I55" s="27"/>
      <c r="J55" s="27"/>
      <c r="K55" s="27"/>
      <c r="L55" s="27"/>
    </row>
    <row r="56" spans="2:12" s="18" customFormat="1" ht="15.5" x14ac:dyDescent="0.35">
      <c r="F56" s="19"/>
      <c r="G56" s="20"/>
      <c r="H56" s="27"/>
      <c r="I56" s="27"/>
      <c r="J56" s="27"/>
      <c r="K56" s="27"/>
      <c r="L56" s="27"/>
    </row>
    <row r="57" spans="2:12" s="18" customFormat="1" ht="15.5" x14ac:dyDescent="0.35">
      <c r="F57" s="19"/>
      <c r="G57" s="20"/>
      <c r="H57" s="27"/>
      <c r="I57" s="27"/>
      <c r="J57" s="27"/>
      <c r="K57" s="27"/>
      <c r="L57" s="27"/>
    </row>
    <row r="58" spans="2:12" s="18" customFormat="1" ht="15.5" x14ac:dyDescent="0.35">
      <c r="F58" s="19"/>
      <c r="G58" s="20"/>
      <c r="H58" s="27"/>
      <c r="I58" s="27"/>
      <c r="J58" s="27"/>
      <c r="K58" s="27"/>
      <c r="L58" s="27"/>
    </row>
    <row r="59" spans="2:12" s="18" customFormat="1" ht="15.5" x14ac:dyDescent="0.35">
      <c r="F59" s="19"/>
      <c r="G59" s="20"/>
      <c r="H59" s="26"/>
      <c r="I59" s="26"/>
      <c r="J59" s="26"/>
      <c r="K59" s="26"/>
      <c r="L59" s="26"/>
    </row>
    <row r="60" spans="2:12" s="18" customFormat="1" ht="15.5" x14ac:dyDescent="0.35">
      <c r="F60" s="19"/>
      <c r="G60" s="20"/>
      <c r="H60" s="26"/>
      <c r="I60" s="26"/>
      <c r="J60" s="26"/>
      <c r="K60" s="26"/>
      <c r="L60" s="26"/>
    </row>
    <row r="61" spans="2:12" s="18" customFormat="1" ht="15.5" x14ac:dyDescent="0.35">
      <c r="F61" s="19"/>
      <c r="G61" s="20"/>
      <c r="H61" s="26"/>
      <c r="I61" s="26"/>
      <c r="J61" s="26"/>
      <c r="K61" s="26"/>
      <c r="L61" s="26"/>
    </row>
    <row r="62" spans="2:12" s="18" customFormat="1" ht="15.5" x14ac:dyDescent="0.35">
      <c r="F62" s="19"/>
      <c r="G62" s="20"/>
      <c r="H62" s="26"/>
      <c r="I62" s="26"/>
      <c r="J62" s="26"/>
      <c r="K62" s="26"/>
      <c r="L62" s="26"/>
    </row>
    <row r="63" spans="2:12" s="18" customFormat="1" ht="15.5" x14ac:dyDescent="0.35">
      <c r="F63" s="19"/>
      <c r="G63" s="20"/>
    </row>
    <row r="64" spans="2:12" s="18" customFormat="1" ht="15.5" x14ac:dyDescent="0.35">
      <c r="F64" s="19"/>
      <c r="G64" s="20"/>
    </row>
    <row r="65" spans="6:7" s="18" customFormat="1" ht="15.5" x14ac:dyDescent="0.35">
      <c r="F65" s="19"/>
      <c r="G65" s="20"/>
    </row>
    <row r="66" spans="6:7" s="18" customFormat="1" ht="15.5" x14ac:dyDescent="0.35">
      <c r="F66" s="19"/>
      <c r="G66" s="20"/>
    </row>
    <row r="67" spans="6:7" s="18" customFormat="1" ht="15.5" x14ac:dyDescent="0.35">
      <c r="F67" s="19"/>
      <c r="G67" s="20"/>
    </row>
    <row r="68" spans="6:7" s="18" customFormat="1" ht="15.5" x14ac:dyDescent="0.35">
      <c r="F68" s="19"/>
      <c r="G68" s="20"/>
    </row>
    <row r="69" spans="6:7" s="18" customFormat="1" ht="15.5" x14ac:dyDescent="0.35">
      <c r="F69" s="19"/>
      <c r="G69" s="20"/>
    </row>
    <row r="70" spans="6:7" s="18" customFormat="1" ht="15.5" x14ac:dyDescent="0.35">
      <c r="F70" s="19"/>
      <c r="G70" s="20"/>
    </row>
    <row r="71" spans="6:7" s="18" customFormat="1" ht="15.5" x14ac:dyDescent="0.35">
      <c r="F71" s="19"/>
      <c r="G71" s="20"/>
    </row>
    <row r="72" spans="6:7" s="18" customFormat="1" ht="15.5" x14ac:dyDescent="0.35">
      <c r="F72" s="19"/>
      <c r="G72" s="20"/>
    </row>
    <row r="73" spans="6:7" s="18" customFormat="1" ht="15.5" x14ac:dyDescent="0.35">
      <c r="F73" s="19"/>
      <c r="G73" s="20"/>
    </row>
    <row r="74" spans="6:7" s="18" customFormat="1" ht="15.5" x14ac:dyDescent="0.35">
      <c r="F74" s="19"/>
      <c r="G74" s="20"/>
    </row>
    <row r="75" spans="6:7" s="18" customFormat="1" ht="15.5" x14ac:dyDescent="0.35">
      <c r="F75" s="19"/>
      <c r="G75" s="20"/>
    </row>
    <row r="76" spans="6:7" s="18" customFormat="1" ht="15.5" x14ac:dyDescent="0.35">
      <c r="F76" s="19"/>
      <c r="G76" s="20"/>
    </row>
    <row r="77" spans="6:7" s="18" customFormat="1" ht="15.5" x14ac:dyDescent="0.35">
      <c r="F77" s="19"/>
      <c r="G77" s="20"/>
    </row>
    <row r="78" spans="6:7" s="18" customFormat="1" ht="15.5" x14ac:dyDescent="0.35">
      <c r="F78" s="19"/>
      <c r="G78" s="20"/>
    </row>
    <row r="79" spans="6:7" s="18" customFormat="1" ht="15.5" x14ac:dyDescent="0.35">
      <c r="F79" s="19"/>
      <c r="G79" s="20"/>
    </row>
    <row r="80" spans="6:7" s="18" customFormat="1" ht="15.5" x14ac:dyDescent="0.35">
      <c r="F80" s="19"/>
      <c r="G80" s="20"/>
    </row>
    <row r="81" spans="6:7" s="18" customFormat="1" ht="15.5" x14ac:dyDescent="0.35">
      <c r="F81" s="19"/>
      <c r="G81" s="20"/>
    </row>
    <row r="82" spans="6:7" s="18" customFormat="1" ht="15.5" x14ac:dyDescent="0.35">
      <c r="F82" s="19"/>
      <c r="G82" s="20"/>
    </row>
    <row r="83" spans="6:7" s="18" customFormat="1" ht="15.5" x14ac:dyDescent="0.35">
      <c r="F83" s="19"/>
      <c r="G83" s="20"/>
    </row>
    <row r="84" spans="6:7" s="18" customFormat="1" ht="15.5" x14ac:dyDescent="0.35">
      <c r="F84" s="19"/>
      <c r="G84" s="20"/>
    </row>
    <row r="85" spans="6:7" s="18" customFormat="1" ht="15.5" x14ac:dyDescent="0.35">
      <c r="F85" s="19"/>
      <c r="G85" s="20"/>
    </row>
    <row r="86" spans="6:7" s="18" customFormat="1" ht="15.5" x14ac:dyDescent="0.35">
      <c r="F86" s="19"/>
      <c r="G86" s="20"/>
    </row>
    <row r="87" spans="6:7" s="18" customFormat="1" ht="15.5" x14ac:dyDescent="0.35">
      <c r="F87" s="19"/>
      <c r="G87" s="20"/>
    </row>
    <row r="88" spans="6:7" s="18" customFormat="1" ht="15.5" x14ac:dyDescent="0.35">
      <c r="F88" s="19"/>
      <c r="G88" s="20"/>
    </row>
    <row r="89" spans="6:7" s="18" customFormat="1" ht="15.5" x14ac:dyDescent="0.35">
      <c r="F89" s="19"/>
      <c r="G89" s="20"/>
    </row>
    <row r="90" spans="6:7" s="18" customFormat="1" ht="15.5" x14ac:dyDescent="0.35">
      <c r="F90" s="19"/>
      <c r="G90" s="20"/>
    </row>
    <row r="91" spans="6:7" s="18" customFormat="1" ht="15.5" x14ac:dyDescent="0.35">
      <c r="F91" s="19"/>
      <c r="G91" s="20"/>
    </row>
    <row r="92" spans="6:7" s="18" customFormat="1" ht="15.5" x14ac:dyDescent="0.35">
      <c r="F92" s="19"/>
      <c r="G92" s="20"/>
    </row>
    <row r="93" spans="6:7" s="18" customFormat="1" ht="15.5" x14ac:dyDescent="0.35">
      <c r="F93" s="19"/>
      <c r="G93" s="20"/>
    </row>
    <row r="94" spans="6:7" s="18" customFormat="1" ht="15.5" x14ac:dyDescent="0.35">
      <c r="F94" s="19"/>
      <c r="G94" s="20"/>
    </row>
    <row r="95" spans="6:7" s="18" customFormat="1" ht="15.5" x14ac:dyDescent="0.35">
      <c r="F95" s="19"/>
      <c r="G95" s="20"/>
    </row>
    <row r="96" spans="6:7" s="18" customFormat="1" ht="15.5" x14ac:dyDescent="0.35">
      <c r="F96" s="19"/>
      <c r="G96" s="20"/>
    </row>
    <row r="97" spans="6:7" s="18" customFormat="1" ht="15.5" x14ac:dyDescent="0.35">
      <c r="F97" s="19"/>
      <c r="G97" s="20"/>
    </row>
    <row r="98" spans="6:7" s="18" customFormat="1" ht="15.5" x14ac:dyDescent="0.35">
      <c r="F98" s="19"/>
      <c r="G98" s="20"/>
    </row>
    <row r="99" spans="6:7" s="18" customFormat="1" ht="15.5" x14ac:dyDescent="0.35">
      <c r="F99" s="19"/>
      <c r="G99" s="20"/>
    </row>
    <row r="100" spans="6:7" s="18" customFormat="1" ht="15.5" x14ac:dyDescent="0.35">
      <c r="F100" s="19"/>
      <c r="G100" s="20"/>
    </row>
    <row r="101" spans="6:7" s="18" customFormat="1" ht="15.5" x14ac:dyDescent="0.35">
      <c r="F101" s="19"/>
      <c r="G101" s="20"/>
    </row>
    <row r="102" spans="6:7" s="18" customFormat="1" ht="15.5" x14ac:dyDescent="0.35">
      <c r="F102" s="19"/>
      <c r="G102" s="20"/>
    </row>
    <row r="103" spans="6:7" s="18" customFormat="1" ht="15.5" x14ac:dyDescent="0.35">
      <c r="F103" s="19"/>
      <c r="G103" s="20"/>
    </row>
    <row r="104" spans="6:7" s="18" customFormat="1" ht="15.5" x14ac:dyDescent="0.35">
      <c r="F104" s="19"/>
      <c r="G104" s="20"/>
    </row>
    <row r="105" spans="6:7" s="18" customFormat="1" ht="15.5" x14ac:dyDescent="0.35">
      <c r="F105" s="19"/>
      <c r="G105" s="20"/>
    </row>
    <row r="106" spans="6:7" s="18" customFormat="1" ht="15.5" x14ac:dyDescent="0.35">
      <c r="F106" s="19"/>
      <c r="G106" s="20"/>
    </row>
    <row r="107" spans="6:7" s="18" customFormat="1" ht="15.5" x14ac:dyDescent="0.35">
      <c r="F107" s="19"/>
      <c r="G107" s="20"/>
    </row>
    <row r="108" spans="6:7" s="18" customFormat="1" ht="15.5" x14ac:dyDescent="0.35">
      <c r="F108" s="19"/>
      <c r="G108" s="20"/>
    </row>
    <row r="109" spans="6:7" s="18" customFormat="1" ht="15.5" x14ac:dyDescent="0.35">
      <c r="F109" s="19"/>
      <c r="G109" s="20"/>
    </row>
    <row r="110" spans="6:7" s="18" customFormat="1" ht="15.5" x14ac:dyDescent="0.35">
      <c r="F110" s="19"/>
      <c r="G110" s="20"/>
    </row>
    <row r="111" spans="6:7" s="18" customFormat="1" ht="15.5" x14ac:dyDescent="0.35">
      <c r="F111" s="19"/>
      <c r="G111" s="20"/>
    </row>
    <row r="112" spans="6:7" s="18" customFormat="1" ht="15.5" x14ac:dyDescent="0.35">
      <c r="F112" s="19"/>
      <c r="G112" s="20"/>
    </row>
    <row r="113" spans="6:7" s="18" customFormat="1" ht="15.5" x14ac:dyDescent="0.35">
      <c r="F113" s="19"/>
      <c r="G113" s="20"/>
    </row>
    <row r="114" spans="6:7" s="18" customFormat="1" ht="15.5" x14ac:dyDescent="0.35">
      <c r="F114" s="19"/>
      <c r="G114" s="20"/>
    </row>
    <row r="115" spans="6:7" s="18" customFormat="1" ht="15.5" x14ac:dyDescent="0.35">
      <c r="F115" s="19"/>
      <c r="G115" s="20"/>
    </row>
    <row r="116" spans="6:7" s="18" customFormat="1" ht="15.5" x14ac:dyDescent="0.35">
      <c r="F116" s="19"/>
      <c r="G116" s="20"/>
    </row>
    <row r="117" spans="6:7" s="18" customFormat="1" ht="15.5" x14ac:dyDescent="0.35">
      <c r="F117" s="19"/>
      <c r="G117" s="20"/>
    </row>
    <row r="118" spans="6:7" s="18" customFormat="1" ht="15.5" x14ac:dyDescent="0.35">
      <c r="F118" s="19"/>
      <c r="G118" s="20"/>
    </row>
    <row r="119" spans="6:7" s="18" customFormat="1" ht="15.5" x14ac:dyDescent="0.35">
      <c r="F119" s="19"/>
      <c r="G119" s="20"/>
    </row>
    <row r="120" spans="6:7" s="18" customFormat="1" ht="15.5" x14ac:dyDescent="0.35">
      <c r="F120" s="19"/>
      <c r="G120" s="20"/>
    </row>
    <row r="121" spans="6:7" s="18" customFormat="1" ht="15.5" x14ac:dyDescent="0.35">
      <c r="F121" s="19"/>
      <c r="G121" s="20"/>
    </row>
    <row r="122" spans="6:7" s="18" customFormat="1" ht="15.5" x14ac:dyDescent="0.35">
      <c r="F122" s="19"/>
      <c r="G122" s="20"/>
    </row>
    <row r="123" spans="6:7" s="18" customFormat="1" ht="15.5" x14ac:dyDescent="0.35">
      <c r="F123" s="19"/>
      <c r="G123" s="20"/>
    </row>
    <row r="124" spans="6:7" s="18" customFormat="1" ht="15.5" x14ac:dyDescent="0.35">
      <c r="F124" s="19"/>
      <c r="G124" s="20"/>
    </row>
    <row r="125" spans="6:7" s="18" customFormat="1" ht="15.5" x14ac:dyDescent="0.35">
      <c r="F125" s="19"/>
      <c r="G125" s="20"/>
    </row>
    <row r="126" spans="6:7" s="18" customFormat="1" ht="15.5" x14ac:dyDescent="0.35">
      <c r="F126" s="19"/>
      <c r="G126" s="20"/>
    </row>
    <row r="127" spans="6:7" s="18" customFormat="1" ht="15.5" x14ac:dyDescent="0.35">
      <c r="F127" s="19"/>
      <c r="G127" s="20"/>
    </row>
    <row r="128" spans="6:7" s="18" customFormat="1" ht="15.5" x14ac:dyDescent="0.35">
      <c r="F128" s="19"/>
      <c r="G128" s="20"/>
    </row>
    <row r="129" spans="6:7" s="18" customFormat="1" ht="15.5" x14ac:dyDescent="0.35">
      <c r="F129" s="19"/>
      <c r="G129" s="20"/>
    </row>
    <row r="130" spans="6:7" s="18" customFormat="1" ht="15.5" x14ac:dyDescent="0.35">
      <c r="F130" s="19"/>
      <c r="G130" s="20"/>
    </row>
    <row r="131" spans="6:7" s="18" customFormat="1" ht="15.5" x14ac:dyDescent="0.35">
      <c r="F131" s="19"/>
      <c r="G131" s="20"/>
    </row>
    <row r="132" spans="6:7" s="18" customFormat="1" ht="15.5" x14ac:dyDescent="0.35">
      <c r="F132" s="19"/>
      <c r="G132" s="20"/>
    </row>
    <row r="133" spans="6:7" s="18" customFormat="1" ht="15.5" x14ac:dyDescent="0.35">
      <c r="F133" s="19"/>
      <c r="G133" s="20"/>
    </row>
    <row r="134" spans="6:7" s="18" customFormat="1" ht="15.5" x14ac:dyDescent="0.35">
      <c r="F134" s="19"/>
      <c r="G134" s="20"/>
    </row>
    <row r="135" spans="6:7" s="18" customFormat="1" ht="15.5" x14ac:dyDescent="0.35">
      <c r="F135" s="19"/>
      <c r="G135" s="20"/>
    </row>
    <row r="136" spans="6:7" s="18" customFormat="1" ht="15.5" x14ac:dyDescent="0.35">
      <c r="F136" s="19"/>
      <c r="G136" s="20"/>
    </row>
    <row r="137" spans="6:7" s="18" customFormat="1" ht="15.5" x14ac:dyDescent="0.35">
      <c r="F137" s="19"/>
      <c r="G137" s="20"/>
    </row>
    <row r="138" spans="6:7" s="18" customFormat="1" ht="15.5" x14ac:dyDescent="0.35">
      <c r="F138" s="19"/>
      <c r="G138" s="20"/>
    </row>
    <row r="139" spans="6:7" s="18" customFormat="1" ht="15.5" x14ac:dyDescent="0.35">
      <c r="F139" s="19"/>
      <c r="G139" s="20"/>
    </row>
    <row r="140" spans="6:7" s="18" customFormat="1" ht="15.5" x14ac:dyDescent="0.35">
      <c r="F140" s="19"/>
      <c r="G140" s="20"/>
    </row>
    <row r="141" spans="6:7" s="18" customFormat="1" ht="15.5" x14ac:dyDescent="0.35">
      <c r="F141" s="19"/>
      <c r="G141" s="20"/>
    </row>
    <row r="142" spans="6:7" s="18" customFormat="1" ht="15.5" x14ac:dyDescent="0.35">
      <c r="F142" s="19"/>
      <c r="G142" s="20"/>
    </row>
    <row r="143" spans="6:7" s="18" customFormat="1" ht="15.5" x14ac:dyDescent="0.35">
      <c r="F143" s="19"/>
      <c r="G143" s="20"/>
    </row>
    <row r="144" spans="6:7" s="18" customFormat="1" ht="15.5" x14ac:dyDescent="0.35">
      <c r="F144" s="19"/>
      <c r="G144" s="20"/>
    </row>
    <row r="145" spans="6:7" s="18" customFormat="1" ht="15.5" x14ac:dyDescent="0.35">
      <c r="F145" s="19"/>
      <c r="G145" s="20"/>
    </row>
    <row r="146" spans="6:7" s="18" customFormat="1" ht="15.5" x14ac:dyDescent="0.35">
      <c r="F146" s="19"/>
      <c r="G146" s="20"/>
    </row>
    <row r="147" spans="6:7" s="18" customFormat="1" ht="15.5" x14ac:dyDescent="0.35">
      <c r="F147" s="19"/>
      <c r="G147" s="20"/>
    </row>
    <row r="148" spans="6:7" s="18" customFormat="1" ht="15.5" x14ac:dyDescent="0.35">
      <c r="F148" s="19"/>
      <c r="G148" s="20"/>
    </row>
    <row r="149" spans="6:7" s="18" customFormat="1" ht="15.5" x14ac:dyDescent="0.35">
      <c r="F149" s="19"/>
      <c r="G149" s="20"/>
    </row>
    <row r="150" spans="6:7" s="18" customFormat="1" ht="15.5" x14ac:dyDescent="0.35">
      <c r="F150" s="19"/>
      <c r="G150" s="20"/>
    </row>
    <row r="151" spans="6:7" s="18" customFormat="1" ht="15.5" x14ac:dyDescent="0.35">
      <c r="F151" s="19"/>
      <c r="G151" s="20"/>
    </row>
    <row r="152" spans="6:7" s="18" customFormat="1" ht="15.5" x14ac:dyDescent="0.35">
      <c r="F152" s="19"/>
      <c r="G152" s="20"/>
    </row>
    <row r="153" spans="6:7" s="18" customFormat="1" ht="15.5" x14ac:dyDescent="0.35">
      <c r="F153" s="19"/>
      <c r="G153" s="20"/>
    </row>
    <row r="154" spans="6:7" s="18" customFormat="1" ht="15.5" x14ac:dyDescent="0.35">
      <c r="F154" s="19"/>
      <c r="G154" s="20"/>
    </row>
    <row r="155" spans="6:7" s="18" customFormat="1" ht="15.5" x14ac:dyDescent="0.35">
      <c r="F155" s="19"/>
      <c r="G155" s="20"/>
    </row>
    <row r="156" spans="6:7" s="18" customFormat="1" ht="15.5" x14ac:dyDescent="0.35">
      <c r="F156" s="19"/>
      <c r="G156" s="20"/>
    </row>
    <row r="157" spans="6:7" s="18" customFormat="1" ht="15.5" x14ac:dyDescent="0.35">
      <c r="F157" s="19"/>
      <c r="G157" s="20"/>
    </row>
    <row r="158" spans="6:7" s="18" customFormat="1" ht="15.5" x14ac:dyDescent="0.35">
      <c r="F158" s="19"/>
      <c r="G158" s="20"/>
    </row>
    <row r="159" spans="6:7" s="18" customFormat="1" ht="15.5" x14ac:dyDescent="0.35">
      <c r="F159" s="19"/>
      <c r="G159" s="20"/>
    </row>
    <row r="160" spans="6:7" s="18" customFormat="1" ht="15.5" x14ac:dyDescent="0.35">
      <c r="F160" s="19"/>
      <c r="G160" s="20"/>
    </row>
    <row r="161" spans="6:7" s="18" customFormat="1" ht="15.5" x14ac:dyDescent="0.35">
      <c r="F161" s="19"/>
      <c r="G161" s="20"/>
    </row>
    <row r="162" spans="6:7" s="18" customFormat="1" ht="15.5" x14ac:dyDescent="0.35">
      <c r="F162" s="19"/>
      <c r="G162" s="20"/>
    </row>
    <row r="163" spans="6:7" s="18" customFormat="1" ht="15.5" x14ac:dyDescent="0.35">
      <c r="F163" s="19"/>
      <c r="G163" s="20"/>
    </row>
    <row r="164" spans="6:7" s="18" customFormat="1" ht="15.5" x14ac:dyDescent="0.35">
      <c r="F164" s="19"/>
      <c r="G164" s="20"/>
    </row>
    <row r="165" spans="6:7" s="18" customFormat="1" ht="15.5" x14ac:dyDescent="0.35">
      <c r="F165" s="19"/>
      <c r="G165" s="20"/>
    </row>
    <row r="166" spans="6:7" s="18" customFormat="1" ht="15.5" x14ac:dyDescent="0.35">
      <c r="F166" s="19"/>
      <c r="G166" s="20"/>
    </row>
    <row r="167" spans="6:7" s="18" customFormat="1" ht="15.5" x14ac:dyDescent="0.35">
      <c r="F167" s="19"/>
      <c r="G167" s="20"/>
    </row>
    <row r="168" spans="6:7" s="18" customFormat="1" ht="15.5" x14ac:dyDescent="0.35">
      <c r="F168" s="19"/>
      <c r="G168" s="20"/>
    </row>
    <row r="169" spans="6:7" s="18" customFormat="1" ht="15.5" x14ac:dyDescent="0.35">
      <c r="F169" s="19"/>
      <c r="G169" s="20"/>
    </row>
    <row r="170" spans="6:7" s="18" customFormat="1" ht="15.5" x14ac:dyDescent="0.35">
      <c r="F170" s="19"/>
      <c r="G170" s="20"/>
    </row>
    <row r="171" spans="6:7" s="18" customFormat="1" ht="15.5" x14ac:dyDescent="0.35">
      <c r="F171" s="19"/>
      <c r="G171" s="20"/>
    </row>
    <row r="172" spans="6:7" s="18" customFormat="1" ht="15.5" x14ac:dyDescent="0.35">
      <c r="F172" s="19"/>
      <c r="G172" s="20"/>
    </row>
    <row r="173" spans="6:7" s="18" customFormat="1" ht="15.5" x14ac:dyDescent="0.35">
      <c r="F173" s="19"/>
      <c r="G173" s="20"/>
    </row>
    <row r="174" spans="6:7" s="18" customFormat="1" ht="15.5" x14ac:dyDescent="0.35">
      <c r="F174" s="19"/>
      <c r="G174" s="20"/>
    </row>
    <row r="175" spans="6:7" s="18" customFormat="1" ht="15.5" x14ac:dyDescent="0.35">
      <c r="F175" s="19"/>
      <c r="G175" s="20"/>
    </row>
    <row r="176" spans="6:7" s="18" customFormat="1" ht="15.5" x14ac:dyDescent="0.35">
      <c r="F176" s="19"/>
      <c r="G176" s="20"/>
    </row>
    <row r="177" spans="6:7" s="18" customFormat="1" ht="15.5" x14ac:dyDescent="0.35">
      <c r="F177" s="19"/>
      <c r="G177" s="20"/>
    </row>
    <row r="178" spans="6:7" s="18" customFormat="1" ht="15.5" x14ac:dyDescent="0.35">
      <c r="F178" s="19"/>
      <c r="G178" s="20"/>
    </row>
    <row r="179" spans="6:7" s="18" customFormat="1" ht="15.5" x14ac:dyDescent="0.35">
      <c r="F179" s="19"/>
      <c r="G179" s="20"/>
    </row>
    <row r="180" spans="6:7" s="18" customFormat="1" ht="15.5" x14ac:dyDescent="0.35">
      <c r="F180" s="19"/>
      <c r="G180" s="20"/>
    </row>
    <row r="181" spans="6:7" s="18" customFormat="1" ht="15.5" x14ac:dyDescent="0.35">
      <c r="F181" s="19"/>
      <c r="G181" s="20"/>
    </row>
    <row r="182" spans="6:7" s="18" customFormat="1" ht="15.5" x14ac:dyDescent="0.35">
      <c r="F182" s="19"/>
      <c r="G182" s="20"/>
    </row>
    <row r="183" spans="6:7" s="18" customFormat="1" ht="15.5" x14ac:dyDescent="0.35">
      <c r="F183" s="19"/>
      <c r="G183" s="20"/>
    </row>
    <row r="184" spans="6:7" s="18" customFormat="1" ht="15.5" x14ac:dyDescent="0.35">
      <c r="F184" s="19"/>
      <c r="G184" s="20"/>
    </row>
    <row r="185" spans="6:7" s="18" customFormat="1" ht="15.5" x14ac:dyDescent="0.35">
      <c r="F185" s="19"/>
      <c r="G185" s="20"/>
    </row>
    <row r="186" spans="6:7" s="18" customFormat="1" ht="15.5" x14ac:dyDescent="0.35">
      <c r="F186" s="19"/>
      <c r="G186" s="20"/>
    </row>
    <row r="187" spans="6:7" s="18" customFormat="1" ht="15.5" x14ac:dyDescent="0.35">
      <c r="F187" s="19"/>
      <c r="G187" s="20"/>
    </row>
    <row r="188" spans="6:7" s="18" customFormat="1" ht="15.5" x14ac:dyDescent="0.35">
      <c r="F188" s="19"/>
      <c r="G188" s="20"/>
    </row>
    <row r="189" spans="6:7" s="18" customFormat="1" ht="15.5" x14ac:dyDescent="0.35">
      <c r="F189" s="19"/>
      <c r="G189" s="20"/>
    </row>
    <row r="190" spans="6:7" s="18" customFormat="1" ht="15.5" x14ac:dyDescent="0.35">
      <c r="F190" s="19"/>
      <c r="G190" s="20"/>
    </row>
    <row r="191" spans="6:7" s="18" customFormat="1" ht="15.5" x14ac:dyDescent="0.35">
      <c r="F191" s="19"/>
      <c r="G191" s="20"/>
    </row>
    <row r="192" spans="6:7" s="18" customFormat="1" ht="15.5" x14ac:dyDescent="0.35">
      <c r="F192" s="19"/>
      <c r="G192" s="20"/>
    </row>
    <row r="193" spans="6:7" s="18" customFormat="1" ht="15.5" x14ac:dyDescent="0.35">
      <c r="F193" s="19"/>
      <c r="G193" s="20"/>
    </row>
    <row r="194" spans="6:7" s="18" customFormat="1" ht="15.5" x14ac:dyDescent="0.35">
      <c r="F194" s="19"/>
      <c r="G194" s="20"/>
    </row>
    <row r="195" spans="6:7" s="18" customFormat="1" ht="15.5" x14ac:dyDescent="0.35">
      <c r="F195" s="19"/>
      <c r="G195" s="20"/>
    </row>
    <row r="196" spans="6:7" s="18" customFormat="1" ht="15.5" x14ac:dyDescent="0.35">
      <c r="F196" s="19"/>
      <c r="G196" s="20"/>
    </row>
    <row r="197" spans="6:7" s="18" customFormat="1" ht="15.5" x14ac:dyDescent="0.35">
      <c r="F197" s="19"/>
      <c r="G197" s="20"/>
    </row>
    <row r="198" spans="6:7" s="18" customFormat="1" ht="15.5" x14ac:dyDescent="0.35">
      <c r="F198" s="19"/>
      <c r="G198" s="20"/>
    </row>
    <row r="199" spans="6:7" s="18" customFormat="1" ht="15.5" x14ac:dyDescent="0.35">
      <c r="F199" s="19"/>
      <c r="G199" s="20"/>
    </row>
    <row r="200" spans="6:7" s="18" customFormat="1" ht="15.5" x14ac:dyDescent="0.35">
      <c r="F200" s="19"/>
      <c r="G200" s="20"/>
    </row>
    <row r="201" spans="6:7" s="18" customFormat="1" ht="15.5" x14ac:dyDescent="0.35">
      <c r="F201" s="19"/>
      <c r="G201" s="20"/>
    </row>
    <row r="202" spans="6:7" s="18" customFormat="1" ht="15.5" x14ac:dyDescent="0.35">
      <c r="F202" s="19"/>
      <c r="G202" s="20"/>
    </row>
    <row r="203" spans="6:7" s="18" customFormat="1" ht="15.5" x14ac:dyDescent="0.35">
      <c r="F203" s="19"/>
      <c r="G203" s="20"/>
    </row>
    <row r="204" spans="6:7" s="18" customFormat="1" ht="15.5" x14ac:dyDescent="0.35">
      <c r="F204" s="19"/>
      <c r="G204" s="20"/>
    </row>
    <row r="205" spans="6:7" s="18" customFormat="1" ht="15.5" x14ac:dyDescent="0.35">
      <c r="F205" s="19"/>
      <c r="G205" s="20"/>
    </row>
    <row r="206" spans="6:7" s="18" customFormat="1" ht="15.5" x14ac:dyDescent="0.35">
      <c r="F206" s="19"/>
      <c r="G206" s="20"/>
    </row>
    <row r="207" spans="6:7" s="18" customFormat="1" ht="15.5" x14ac:dyDescent="0.35">
      <c r="F207" s="19"/>
      <c r="G207" s="20"/>
    </row>
    <row r="208" spans="6:7" s="18" customFormat="1" ht="15.5" x14ac:dyDescent="0.35">
      <c r="F208" s="19"/>
      <c r="G208" s="20"/>
    </row>
    <row r="209" spans="6:7" s="18" customFormat="1" ht="15.5" x14ac:dyDescent="0.35">
      <c r="F209" s="19"/>
      <c r="G209" s="20"/>
    </row>
    <row r="210" spans="6:7" s="18" customFormat="1" ht="15.5" x14ac:dyDescent="0.35">
      <c r="F210" s="19"/>
      <c r="G210" s="20"/>
    </row>
    <row r="211" spans="6:7" s="18" customFormat="1" ht="15.5" x14ac:dyDescent="0.35">
      <c r="F211" s="19"/>
      <c r="G211" s="20"/>
    </row>
    <row r="212" spans="6:7" s="18" customFormat="1" ht="15.5" x14ac:dyDescent="0.35">
      <c r="F212" s="19"/>
      <c r="G212" s="20"/>
    </row>
    <row r="213" spans="6:7" s="18" customFormat="1" ht="15.5" x14ac:dyDescent="0.35">
      <c r="F213" s="19"/>
      <c r="G213" s="20"/>
    </row>
    <row r="214" spans="6:7" s="18" customFormat="1" ht="15.5" x14ac:dyDescent="0.35">
      <c r="F214" s="19"/>
      <c r="G214" s="20"/>
    </row>
    <row r="215" spans="6:7" s="18" customFormat="1" ht="15.5" x14ac:dyDescent="0.35">
      <c r="F215" s="19"/>
      <c r="G215" s="20"/>
    </row>
    <row r="216" spans="6:7" s="18" customFormat="1" ht="15.5" x14ac:dyDescent="0.35">
      <c r="F216" s="19"/>
      <c r="G216" s="20"/>
    </row>
    <row r="217" spans="6:7" s="18" customFormat="1" ht="15.5" x14ac:dyDescent="0.35">
      <c r="F217" s="19"/>
      <c r="G217" s="20"/>
    </row>
    <row r="218" spans="6:7" s="18" customFormat="1" ht="15.5" x14ac:dyDescent="0.35">
      <c r="F218" s="19"/>
      <c r="G218" s="20"/>
    </row>
    <row r="219" spans="6:7" s="18" customFormat="1" ht="15.5" x14ac:dyDescent="0.35">
      <c r="F219" s="19"/>
      <c r="G219" s="20"/>
    </row>
    <row r="220" spans="6:7" s="18" customFormat="1" ht="15.5" x14ac:dyDescent="0.35">
      <c r="F220" s="19"/>
      <c r="G220" s="20"/>
    </row>
    <row r="221" spans="6:7" s="18" customFormat="1" ht="15.5" x14ac:dyDescent="0.35">
      <c r="F221" s="19"/>
      <c r="G221" s="20"/>
    </row>
    <row r="222" spans="6:7" s="18" customFormat="1" ht="15.5" x14ac:dyDescent="0.35">
      <c r="F222" s="19"/>
      <c r="G222" s="20"/>
    </row>
    <row r="223" spans="6:7" s="18" customFormat="1" ht="15.5" x14ac:dyDescent="0.35">
      <c r="F223" s="19"/>
      <c r="G223" s="20"/>
    </row>
    <row r="224" spans="6:7" s="18" customFormat="1" ht="15.5" x14ac:dyDescent="0.35">
      <c r="F224" s="19"/>
      <c r="G224" s="20"/>
    </row>
    <row r="225" spans="6:7" s="18" customFormat="1" ht="15.5" x14ac:dyDescent="0.35">
      <c r="F225" s="19"/>
      <c r="G225" s="20"/>
    </row>
    <row r="226" spans="6:7" s="18" customFormat="1" ht="15.5" x14ac:dyDescent="0.35">
      <c r="F226" s="19"/>
      <c r="G226" s="20"/>
    </row>
    <row r="227" spans="6:7" s="18" customFormat="1" ht="15.5" x14ac:dyDescent="0.35">
      <c r="F227" s="19"/>
      <c r="G227" s="20"/>
    </row>
    <row r="228" spans="6:7" s="18" customFormat="1" ht="15.5" x14ac:dyDescent="0.35">
      <c r="F228" s="19"/>
      <c r="G228" s="20"/>
    </row>
    <row r="229" spans="6:7" s="18" customFormat="1" ht="15.5" x14ac:dyDescent="0.35">
      <c r="F229" s="19"/>
      <c r="G229" s="20"/>
    </row>
    <row r="230" spans="6:7" s="18" customFormat="1" ht="15.5" x14ac:dyDescent="0.35">
      <c r="F230" s="19"/>
      <c r="G230" s="20"/>
    </row>
    <row r="231" spans="6:7" s="18" customFormat="1" ht="15.5" x14ac:dyDescent="0.35">
      <c r="F231" s="19"/>
      <c r="G231" s="20"/>
    </row>
    <row r="232" spans="6:7" s="18" customFormat="1" ht="15.5" x14ac:dyDescent="0.35">
      <c r="F232" s="19"/>
      <c r="G232" s="20"/>
    </row>
    <row r="233" spans="6:7" s="18" customFormat="1" ht="15.5" x14ac:dyDescent="0.35">
      <c r="F233" s="19"/>
      <c r="G233" s="20"/>
    </row>
    <row r="234" spans="6:7" s="18" customFormat="1" ht="15.5" x14ac:dyDescent="0.35">
      <c r="F234" s="19"/>
      <c r="G234" s="20"/>
    </row>
    <row r="235" spans="6:7" s="18" customFormat="1" ht="15.5" x14ac:dyDescent="0.35">
      <c r="F235" s="19"/>
      <c r="G235" s="20"/>
    </row>
    <row r="236" spans="6:7" s="18" customFormat="1" ht="15.5" x14ac:dyDescent="0.35">
      <c r="F236" s="19"/>
      <c r="G236" s="20"/>
    </row>
    <row r="237" spans="6:7" s="18" customFormat="1" ht="15.5" x14ac:dyDescent="0.35">
      <c r="F237" s="19"/>
      <c r="G237" s="20"/>
    </row>
    <row r="238" spans="6:7" s="18" customFormat="1" ht="15.5" x14ac:dyDescent="0.35">
      <c r="F238" s="19"/>
      <c r="G238" s="20"/>
    </row>
    <row r="239" spans="6:7" s="18" customFormat="1" ht="15.5" x14ac:dyDescent="0.35">
      <c r="F239" s="19"/>
      <c r="G239" s="20"/>
    </row>
    <row r="240" spans="6:7" s="18" customFormat="1" ht="15.5" x14ac:dyDescent="0.35">
      <c r="F240" s="19"/>
      <c r="G240" s="20"/>
    </row>
    <row r="241" spans="6:7" s="18" customFormat="1" ht="15.5" x14ac:dyDescent="0.35">
      <c r="F241" s="19"/>
      <c r="G241" s="20"/>
    </row>
    <row r="242" spans="6:7" s="18" customFormat="1" ht="15.5" x14ac:dyDescent="0.35">
      <c r="F242" s="19"/>
      <c r="G242" s="20"/>
    </row>
    <row r="243" spans="6:7" s="18" customFormat="1" ht="15.5" x14ac:dyDescent="0.35">
      <c r="F243" s="19"/>
      <c r="G243" s="20"/>
    </row>
    <row r="244" spans="6:7" s="18" customFormat="1" ht="15.5" x14ac:dyDescent="0.35">
      <c r="F244" s="19"/>
      <c r="G244" s="20"/>
    </row>
    <row r="245" spans="6:7" s="18" customFormat="1" ht="15.5" x14ac:dyDescent="0.35">
      <c r="F245" s="19"/>
      <c r="G245" s="20"/>
    </row>
    <row r="246" spans="6:7" s="18" customFormat="1" ht="15.5" x14ac:dyDescent="0.35">
      <c r="F246" s="19"/>
      <c r="G246" s="20"/>
    </row>
    <row r="247" spans="6:7" s="18" customFormat="1" ht="15.5" x14ac:dyDescent="0.35">
      <c r="F247" s="19"/>
      <c r="G247" s="20"/>
    </row>
    <row r="248" spans="6:7" s="18" customFormat="1" ht="15.5" x14ac:dyDescent="0.35">
      <c r="F248" s="19"/>
      <c r="G248" s="20"/>
    </row>
    <row r="249" spans="6:7" s="18" customFormat="1" ht="15.5" x14ac:dyDescent="0.35">
      <c r="F249" s="19"/>
      <c r="G249" s="20"/>
    </row>
    <row r="250" spans="6:7" s="18" customFormat="1" ht="15.5" x14ac:dyDescent="0.35">
      <c r="F250" s="19"/>
      <c r="G250" s="20"/>
    </row>
    <row r="251" spans="6:7" s="18" customFormat="1" ht="15.5" x14ac:dyDescent="0.35">
      <c r="F251" s="19"/>
      <c r="G251" s="20"/>
    </row>
    <row r="252" spans="6:7" s="18" customFormat="1" ht="15.5" x14ac:dyDescent="0.35">
      <c r="F252" s="19"/>
      <c r="G252" s="20"/>
    </row>
    <row r="253" spans="6:7" s="18" customFormat="1" ht="15.5" x14ac:dyDescent="0.35">
      <c r="F253" s="19"/>
      <c r="G253" s="20"/>
    </row>
    <row r="254" spans="6:7" s="18" customFormat="1" ht="15.5" x14ac:dyDescent="0.35">
      <c r="F254" s="19"/>
      <c r="G254" s="20"/>
    </row>
    <row r="255" spans="6:7" s="18" customFormat="1" ht="15.5" x14ac:dyDescent="0.35">
      <c r="F255" s="19"/>
      <c r="G255" s="20"/>
    </row>
    <row r="256" spans="6:7" s="18" customFormat="1" ht="15.5" x14ac:dyDescent="0.35">
      <c r="F256" s="19"/>
      <c r="G256" s="20"/>
    </row>
    <row r="257" spans="6:7" s="18" customFormat="1" ht="15.5" x14ac:dyDescent="0.35">
      <c r="F257" s="19"/>
      <c r="G257" s="20"/>
    </row>
    <row r="258" spans="6:7" s="18" customFormat="1" ht="15.5" x14ac:dyDescent="0.35">
      <c r="F258" s="19"/>
      <c r="G258" s="20"/>
    </row>
    <row r="259" spans="6:7" s="18" customFormat="1" ht="15.5" x14ac:dyDescent="0.35">
      <c r="F259" s="19"/>
      <c r="G259" s="20"/>
    </row>
    <row r="260" spans="6:7" s="18" customFormat="1" ht="15.5" x14ac:dyDescent="0.35">
      <c r="F260" s="19"/>
      <c r="G260" s="20"/>
    </row>
    <row r="261" spans="6:7" s="18" customFormat="1" ht="15.5" x14ac:dyDescent="0.35">
      <c r="F261" s="19"/>
      <c r="G261" s="20"/>
    </row>
    <row r="262" spans="6:7" s="18" customFormat="1" ht="15.5" x14ac:dyDescent="0.35">
      <c r="F262" s="19"/>
      <c r="G262" s="20"/>
    </row>
    <row r="263" spans="6:7" s="18" customFormat="1" ht="15.5" x14ac:dyDescent="0.35">
      <c r="F263" s="19"/>
      <c r="G263" s="20"/>
    </row>
    <row r="264" spans="6:7" s="18" customFormat="1" ht="15.5" x14ac:dyDescent="0.35">
      <c r="F264" s="19"/>
      <c r="G264" s="20"/>
    </row>
    <row r="265" spans="6:7" s="18" customFormat="1" ht="15.5" x14ac:dyDescent="0.35">
      <c r="F265" s="19"/>
      <c r="G265" s="20"/>
    </row>
    <row r="266" spans="6:7" s="18" customFormat="1" ht="15.5" x14ac:dyDescent="0.35">
      <c r="F266" s="19"/>
      <c r="G266" s="20"/>
    </row>
    <row r="267" spans="6:7" s="18" customFormat="1" ht="15.5" x14ac:dyDescent="0.35">
      <c r="F267" s="19"/>
      <c r="G267" s="20"/>
    </row>
    <row r="268" spans="6:7" s="18" customFormat="1" ht="15.5" x14ac:dyDescent="0.35">
      <c r="F268" s="19"/>
      <c r="G268" s="20"/>
    </row>
    <row r="269" spans="6:7" s="18" customFormat="1" ht="15.5" x14ac:dyDescent="0.35">
      <c r="F269" s="19"/>
      <c r="G269" s="20"/>
    </row>
    <row r="270" spans="6:7" s="18" customFormat="1" ht="15.5" x14ac:dyDescent="0.35">
      <c r="F270" s="19"/>
      <c r="G270" s="20"/>
    </row>
    <row r="271" spans="6:7" s="18" customFormat="1" ht="15.5" x14ac:dyDescent="0.35">
      <c r="F271" s="19"/>
      <c r="G271" s="20"/>
    </row>
    <row r="272" spans="6:7" s="18" customFormat="1" ht="15.5" x14ac:dyDescent="0.35">
      <c r="F272" s="19"/>
      <c r="G272" s="20"/>
    </row>
    <row r="273" spans="6:7" s="18" customFormat="1" ht="15.5" x14ac:dyDescent="0.35">
      <c r="F273" s="19"/>
      <c r="G273" s="20"/>
    </row>
    <row r="274" spans="6:7" s="18" customFormat="1" ht="15.5" x14ac:dyDescent="0.35">
      <c r="F274" s="19"/>
      <c r="G274" s="20"/>
    </row>
    <row r="275" spans="6:7" s="18" customFormat="1" ht="15.5" x14ac:dyDescent="0.35">
      <c r="F275" s="19"/>
      <c r="G275" s="20"/>
    </row>
    <row r="276" spans="6:7" s="18" customFormat="1" ht="15.5" x14ac:dyDescent="0.35">
      <c r="F276" s="19"/>
      <c r="G276" s="20"/>
    </row>
    <row r="277" spans="6:7" s="18" customFormat="1" ht="15.5" x14ac:dyDescent="0.35">
      <c r="F277" s="19"/>
      <c r="G277" s="20"/>
    </row>
    <row r="278" spans="6:7" s="18" customFormat="1" ht="15.5" x14ac:dyDescent="0.35">
      <c r="F278" s="19"/>
      <c r="G278" s="20"/>
    </row>
    <row r="279" spans="6:7" s="18" customFormat="1" ht="15.5" x14ac:dyDescent="0.35">
      <c r="F279" s="19"/>
      <c r="G279" s="20"/>
    </row>
    <row r="280" spans="6:7" s="18" customFormat="1" ht="15.5" x14ac:dyDescent="0.35">
      <c r="F280" s="19"/>
      <c r="G280" s="20"/>
    </row>
    <row r="281" spans="6:7" s="18" customFormat="1" ht="15.5" x14ac:dyDescent="0.35">
      <c r="F281" s="19"/>
      <c r="G281" s="20"/>
    </row>
    <row r="282" spans="6:7" s="18" customFormat="1" ht="15.5" x14ac:dyDescent="0.35">
      <c r="F282" s="19"/>
      <c r="G282" s="20"/>
    </row>
    <row r="283" spans="6:7" s="18" customFormat="1" ht="15.5" x14ac:dyDescent="0.35">
      <c r="F283" s="19"/>
      <c r="G283" s="20"/>
    </row>
    <row r="284" spans="6:7" s="18" customFormat="1" ht="15.5" x14ac:dyDescent="0.35">
      <c r="F284" s="19"/>
      <c r="G284" s="20"/>
    </row>
    <row r="285" spans="6:7" s="18" customFormat="1" ht="15.5" x14ac:dyDescent="0.35">
      <c r="F285" s="19"/>
      <c r="G285" s="20"/>
    </row>
    <row r="286" spans="6:7" s="18" customFormat="1" ht="15.5" x14ac:dyDescent="0.35">
      <c r="F286" s="19"/>
      <c r="G286" s="20"/>
    </row>
    <row r="287" spans="6:7" s="18" customFormat="1" ht="15.5" x14ac:dyDescent="0.35">
      <c r="F287" s="19"/>
      <c r="G287" s="20"/>
    </row>
    <row r="288" spans="6:7" s="18" customFormat="1" ht="15.5" x14ac:dyDescent="0.35">
      <c r="F288" s="19"/>
      <c r="G288" s="20"/>
    </row>
    <row r="289" spans="6:7" s="18" customFormat="1" ht="15.5" x14ac:dyDescent="0.35">
      <c r="F289" s="19"/>
      <c r="G289" s="20"/>
    </row>
    <row r="290" spans="6:7" s="18" customFormat="1" ht="15.5" x14ac:dyDescent="0.35">
      <c r="F290" s="19"/>
      <c r="G290" s="20"/>
    </row>
    <row r="291" spans="6:7" s="18" customFormat="1" ht="15.5" x14ac:dyDescent="0.35">
      <c r="F291" s="19"/>
      <c r="G291" s="20"/>
    </row>
    <row r="292" spans="6:7" s="18" customFormat="1" ht="15.5" x14ac:dyDescent="0.35">
      <c r="F292" s="19"/>
      <c r="G292" s="20"/>
    </row>
    <row r="293" spans="6:7" s="18" customFormat="1" ht="15.5" x14ac:dyDescent="0.35">
      <c r="F293" s="19"/>
      <c r="G293" s="20"/>
    </row>
    <row r="294" spans="6:7" s="18" customFormat="1" ht="15.5" x14ac:dyDescent="0.35">
      <c r="F294" s="19"/>
      <c r="G294" s="20"/>
    </row>
    <row r="295" spans="6:7" s="18" customFormat="1" ht="15.5" x14ac:dyDescent="0.35">
      <c r="F295" s="19"/>
      <c r="G295" s="20"/>
    </row>
    <row r="296" spans="6:7" s="18" customFormat="1" ht="15.5" x14ac:dyDescent="0.35">
      <c r="F296" s="19"/>
      <c r="G296" s="20"/>
    </row>
    <row r="297" spans="6:7" s="18" customFormat="1" ht="15.5" x14ac:dyDescent="0.35">
      <c r="F297" s="19"/>
      <c r="G297" s="20"/>
    </row>
    <row r="298" spans="6:7" s="18" customFormat="1" ht="15.5" x14ac:dyDescent="0.35">
      <c r="F298" s="19"/>
      <c r="G298" s="20"/>
    </row>
    <row r="299" spans="6:7" s="18" customFormat="1" ht="15.5" x14ac:dyDescent="0.35">
      <c r="F299" s="19"/>
      <c r="G299" s="20"/>
    </row>
    <row r="300" spans="6:7" s="18" customFormat="1" ht="15.5" x14ac:dyDescent="0.35">
      <c r="F300" s="19"/>
      <c r="G300" s="20"/>
    </row>
    <row r="301" spans="6:7" s="18" customFormat="1" ht="15.5" x14ac:dyDescent="0.35">
      <c r="F301" s="19"/>
      <c r="G301" s="20"/>
    </row>
    <row r="302" spans="6:7" s="18" customFormat="1" ht="15.5" x14ac:dyDescent="0.35">
      <c r="F302" s="19"/>
      <c r="G302" s="20"/>
    </row>
    <row r="303" spans="6:7" s="18" customFormat="1" ht="15.5" x14ac:dyDescent="0.35">
      <c r="F303" s="19"/>
      <c r="G303" s="20"/>
    </row>
    <row r="304" spans="6:7" s="18" customFormat="1" ht="15.5" x14ac:dyDescent="0.35">
      <c r="F304" s="19"/>
      <c r="G304" s="20"/>
    </row>
    <row r="305" spans="6:7" s="18" customFormat="1" ht="15.5" x14ac:dyDescent="0.35">
      <c r="F305" s="19"/>
      <c r="G305" s="20"/>
    </row>
    <row r="306" spans="6:7" s="18" customFormat="1" ht="15.5" x14ac:dyDescent="0.35">
      <c r="F306" s="19"/>
      <c r="G306" s="20"/>
    </row>
    <row r="307" spans="6:7" s="18" customFormat="1" ht="15.5" x14ac:dyDescent="0.35">
      <c r="F307" s="19"/>
      <c r="G307" s="20"/>
    </row>
    <row r="308" spans="6:7" s="18" customFormat="1" ht="15.5" x14ac:dyDescent="0.35">
      <c r="F308" s="19"/>
      <c r="G308" s="20"/>
    </row>
    <row r="309" spans="6:7" s="18" customFormat="1" ht="15.5" x14ac:dyDescent="0.35">
      <c r="F309" s="19"/>
      <c r="G309" s="20"/>
    </row>
    <row r="310" spans="6:7" s="18" customFormat="1" ht="15.5" x14ac:dyDescent="0.35">
      <c r="F310" s="19"/>
      <c r="G310" s="20"/>
    </row>
    <row r="311" spans="6:7" s="18" customFormat="1" ht="15.5" x14ac:dyDescent="0.35">
      <c r="F311" s="19"/>
      <c r="G311" s="20"/>
    </row>
    <row r="312" spans="6:7" s="18" customFormat="1" ht="15.5" x14ac:dyDescent="0.35">
      <c r="F312" s="19"/>
      <c r="G312" s="20"/>
    </row>
    <row r="313" spans="6:7" s="18" customFormat="1" ht="15.5" x14ac:dyDescent="0.35">
      <c r="F313" s="19"/>
      <c r="G313" s="20"/>
    </row>
    <row r="314" spans="6:7" s="18" customFormat="1" ht="15.5" x14ac:dyDescent="0.35">
      <c r="F314" s="19"/>
      <c r="G314" s="20"/>
    </row>
    <row r="315" spans="6:7" s="18" customFormat="1" ht="15.5" x14ac:dyDescent="0.35">
      <c r="F315" s="19"/>
      <c r="G315" s="20"/>
    </row>
    <row r="316" spans="6:7" s="18" customFormat="1" ht="15.5" x14ac:dyDescent="0.35">
      <c r="F316" s="19"/>
      <c r="G316" s="20"/>
    </row>
    <row r="317" spans="6:7" s="18" customFormat="1" ht="15.5" x14ac:dyDescent="0.35">
      <c r="F317" s="19"/>
      <c r="G317" s="20"/>
    </row>
    <row r="318" spans="6:7" s="18" customFormat="1" ht="15.5" x14ac:dyDescent="0.35">
      <c r="F318" s="19"/>
      <c r="G318" s="20"/>
    </row>
    <row r="319" spans="6:7" s="18" customFormat="1" ht="15.5" x14ac:dyDescent="0.35">
      <c r="F319" s="19"/>
      <c r="G319" s="20"/>
    </row>
    <row r="320" spans="6:7" s="18" customFormat="1" ht="15.5" x14ac:dyDescent="0.35">
      <c r="F320" s="19"/>
      <c r="G320" s="20"/>
    </row>
    <row r="321" spans="6:7" s="18" customFormat="1" ht="15.5" x14ac:dyDescent="0.35">
      <c r="F321" s="19"/>
      <c r="G321" s="20"/>
    </row>
    <row r="322" spans="6:7" s="18" customFormat="1" ht="15.5" x14ac:dyDescent="0.35">
      <c r="F322" s="19"/>
      <c r="G322" s="20"/>
    </row>
    <row r="323" spans="6:7" s="18" customFormat="1" ht="15.5" x14ac:dyDescent="0.35">
      <c r="F323" s="19"/>
      <c r="G323" s="20"/>
    </row>
    <row r="324" spans="6:7" s="18" customFormat="1" ht="15.5" x14ac:dyDescent="0.35">
      <c r="F324" s="19"/>
      <c r="G324" s="20"/>
    </row>
    <row r="325" spans="6:7" s="18" customFormat="1" ht="15.5" x14ac:dyDescent="0.35">
      <c r="F325" s="19"/>
      <c r="G325" s="20"/>
    </row>
    <row r="326" spans="6:7" s="18" customFormat="1" ht="15.5" x14ac:dyDescent="0.35">
      <c r="F326" s="19"/>
      <c r="G326" s="20"/>
    </row>
    <row r="327" spans="6:7" s="18" customFormat="1" ht="15.5" x14ac:dyDescent="0.35">
      <c r="F327" s="19"/>
      <c r="G327" s="20"/>
    </row>
    <row r="328" spans="6:7" s="18" customFormat="1" ht="15.5" x14ac:dyDescent="0.35">
      <c r="F328" s="19"/>
      <c r="G328" s="20"/>
    </row>
    <row r="329" spans="6:7" s="18" customFormat="1" ht="15.5" x14ac:dyDescent="0.35">
      <c r="F329" s="19"/>
      <c r="G329" s="20"/>
    </row>
    <row r="330" spans="6:7" s="18" customFormat="1" ht="15.5" x14ac:dyDescent="0.35">
      <c r="F330" s="19"/>
      <c r="G330" s="20"/>
    </row>
    <row r="331" spans="6:7" s="18" customFormat="1" ht="15.5" x14ac:dyDescent="0.35">
      <c r="F331" s="19"/>
      <c r="G331" s="20"/>
    </row>
    <row r="332" spans="6:7" s="18" customFormat="1" ht="15.5" x14ac:dyDescent="0.35">
      <c r="F332" s="19"/>
      <c r="G332" s="20"/>
    </row>
    <row r="333" spans="6:7" s="18" customFormat="1" ht="15.5" x14ac:dyDescent="0.35">
      <c r="F333" s="19"/>
      <c r="G333" s="20"/>
    </row>
    <row r="334" spans="6:7" s="18" customFormat="1" ht="15.5" x14ac:dyDescent="0.35">
      <c r="F334" s="19"/>
      <c r="G334" s="20"/>
    </row>
    <row r="335" spans="6:7" s="18" customFormat="1" ht="15.5" x14ac:dyDescent="0.35">
      <c r="F335" s="19"/>
      <c r="G335" s="20"/>
    </row>
    <row r="336" spans="6:7" s="18" customFormat="1" ht="15.5" x14ac:dyDescent="0.35">
      <c r="F336" s="19"/>
      <c r="G336" s="20"/>
    </row>
    <row r="337" spans="6:7" s="18" customFormat="1" ht="15.5" x14ac:dyDescent="0.35">
      <c r="F337" s="19"/>
      <c r="G337" s="20"/>
    </row>
    <row r="338" spans="6:7" s="18" customFormat="1" ht="15.5" x14ac:dyDescent="0.35">
      <c r="F338" s="19"/>
      <c r="G338" s="20"/>
    </row>
    <row r="339" spans="6:7" s="18" customFormat="1" ht="15.5" x14ac:dyDescent="0.35">
      <c r="F339" s="19"/>
      <c r="G339" s="20"/>
    </row>
    <row r="340" spans="6:7" s="18" customFormat="1" ht="15.5" x14ac:dyDescent="0.35">
      <c r="F340" s="19"/>
      <c r="G340" s="20"/>
    </row>
    <row r="341" spans="6:7" s="18" customFormat="1" ht="15.5" x14ac:dyDescent="0.35">
      <c r="F341" s="19"/>
      <c r="G341" s="20"/>
    </row>
    <row r="342" spans="6:7" s="18" customFormat="1" ht="15.5" x14ac:dyDescent="0.35">
      <c r="F342" s="19"/>
      <c r="G342" s="20"/>
    </row>
    <row r="343" spans="6:7" s="18" customFormat="1" ht="15.5" x14ac:dyDescent="0.35">
      <c r="F343" s="19"/>
      <c r="G343" s="20"/>
    </row>
    <row r="344" spans="6:7" s="18" customFormat="1" ht="15.5" x14ac:dyDescent="0.35">
      <c r="F344" s="19"/>
      <c r="G344" s="20"/>
    </row>
    <row r="345" spans="6:7" s="18" customFormat="1" ht="15.5" x14ac:dyDescent="0.35">
      <c r="F345" s="19"/>
      <c r="G345" s="20"/>
    </row>
    <row r="346" spans="6:7" s="18" customFormat="1" ht="15.5" x14ac:dyDescent="0.35">
      <c r="F346" s="19"/>
      <c r="G346" s="20"/>
    </row>
    <row r="347" spans="6:7" s="18" customFormat="1" ht="15.5" x14ac:dyDescent="0.35">
      <c r="F347" s="19"/>
      <c r="G347" s="20"/>
    </row>
    <row r="348" spans="6:7" s="18" customFormat="1" ht="15.5" x14ac:dyDescent="0.35">
      <c r="F348" s="19"/>
      <c r="G348" s="20"/>
    </row>
    <row r="349" spans="6:7" s="18" customFormat="1" ht="15.5" x14ac:dyDescent="0.35">
      <c r="F349" s="19"/>
      <c r="G349" s="20"/>
    </row>
    <row r="350" spans="6:7" s="18" customFormat="1" ht="15.5" x14ac:dyDescent="0.35">
      <c r="F350" s="19"/>
      <c r="G350" s="20"/>
    </row>
    <row r="351" spans="6:7" s="18" customFormat="1" ht="15.5" x14ac:dyDescent="0.35">
      <c r="F351" s="19"/>
      <c r="G351" s="20"/>
    </row>
    <row r="352" spans="6:7" s="18" customFormat="1" ht="15.5" x14ac:dyDescent="0.35">
      <c r="F352" s="19"/>
      <c r="G352" s="20"/>
    </row>
    <row r="353" spans="6:7" s="18" customFormat="1" ht="15.5" x14ac:dyDescent="0.35">
      <c r="F353" s="19"/>
      <c r="G353" s="20"/>
    </row>
    <row r="354" spans="6:7" s="18" customFormat="1" ht="15.5" x14ac:dyDescent="0.35">
      <c r="F354" s="19"/>
      <c r="G354" s="20"/>
    </row>
    <row r="355" spans="6:7" s="18" customFormat="1" ht="15.5" x14ac:dyDescent="0.35">
      <c r="F355" s="19"/>
      <c r="G355" s="20"/>
    </row>
    <row r="356" spans="6:7" s="18" customFormat="1" ht="15.5" x14ac:dyDescent="0.35">
      <c r="F356" s="19"/>
      <c r="G356" s="20"/>
    </row>
    <row r="357" spans="6:7" s="18" customFormat="1" ht="15.5" x14ac:dyDescent="0.35">
      <c r="F357" s="19"/>
      <c r="G357" s="20"/>
    </row>
    <row r="358" spans="6:7" s="18" customFormat="1" ht="15.5" x14ac:dyDescent="0.35">
      <c r="F358" s="19"/>
      <c r="G358" s="20"/>
    </row>
    <row r="359" spans="6:7" s="18" customFormat="1" ht="15.5" x14ac:dyDescent="0.35">
      <c r="F359" s="19"/>
      <c r="G359" s="20"/>
    </row>
    <row r="360" spans="6:7" s="18" customFormat="1" ht="15.5" x14ac:dyDescent="0.35">
      <c r="F360" s="19"/>
      <c r="G360" s="20"/>
    </row>
    <row r="361" spans="6:7" s="18" customFormat="1" ht="15.5" x14ac:dyDescent="0.35">
      <c r="F361" s="19"/>
      <c r="G361" s="20"/>
    </row>
    <row r="362" spans="6:7" s="18" customFormat="1" ht="15.5" x14ac:dyDescent="0.35">
      <c r="F362" s="19"/>
      <c r="G362" s="20"/>
    </row>
    <row r="363" spans="6:7" s="18" customFormat="1" ht="15.5" x14ac:dyDescent="0.35">
      <c r="F363" s="19"/>
      <c r="G363" s="20"/>
    </row>
    <row r="364" spans="6:7" s="18" customFormat="1" ht="15.5" x14ac:dyDescent="0.35">
      <c r="F364" s="19"/>
      <c r="G364" s="20"/>
    </row>
    <row r="365" spans="6:7" s="18" customFormat="1" ht="15.5" x14ac:dyDescent="0.35">
      <c r="F365" s="19"/>
      <c r="G365" s="20"/>
    </row>
    <row r="366" spans="6:7" s="18" customFormat="1" ht="15.5" x14ac:dyDescent="0.35">
      <c r="F366" s="19"/>
      <c r="G366" s="20"/>
    </row>
    <row r="367" spans="6:7" s="18" customFormat="1" ht="15.5" x14ac:dyDescent="0.35">
      <c r="F367" s="19"/>
      <c r="G367" s="20"/>
    </row>
    <row r="368" spans="6:7" s="18" customFormat="1" ht="15.5" x14ac:dyDescent="0.35">
      <c r="F368" s="19"/>
      <c r="G368" s="20"/>
    </row>
    <row r="369" spans="6:7" s="18" customFormat="1" ht="15.5" x14ac:dyDescent="0.35">
      <c r="F369" s="19"/>
      <c r="G369" s="20"/>
    </row>
    <row r="370" spans="6:7" s="18" customFormat="1" ht="15.5" x14ac:dyDescent="0.35">
      <c r="F370" s="19"/>
      <c r="G370" s="20"/>
    </row>
    <row r="371" spans="6:7" s="18" customFormat="1" ht="15.5" x14ac:dyDescent="0.35">
      <c r="F371" s="19"/>
      <c r="G371" s="20"/>
    </row>
    <row r="372" spans="6:7" s="18" customFormat="1" ht="15.5" x14ac:dyDescent="0.35">
      <c r="F372" s="19"/>
      <c r="G372" s="20"/>
    </row>
    <row r="373" spans="6:7" s="18" customFormat="1" ht="15.5" x14ac:dyDescent="0.35">
      <c r="F373" s="19"/>
      <c r="G373" s="20"/>
    </row>
    <row r="374" spans="6:7" s="18" customFormat="1" ht="15.5" x14ac:dyDescent="0.35">
      <c r="F374" s="19"/>
      <c r="G374" s="20"/>
    </row>
    <row r="375" spans="6:7" s="18" customFormat="1" ht="15.5" x14ac:dyDescent="0.35">
      <c r="F375" s="19"/>
      <c r="G375" s="20"/>
    </row>
    <row r="376" spans="6:7" s="18" customFormat="1" ht="15.5" x14ac:dyDescent="0.35">
      <c r="F376" s="19"/>
      <c r="G376" s="20"/>
    </row>
    <row r="377" spans="6:7" s="18" customFormat="1" ht="15.5" x14ac:dyDescent="0.35">
      <c r="F377" s="19"/>
      <c r="G377" s="20"/>
    </row>
    <row r="378" spans="6:7" s="18" customFormat="1" ht="15.5" x14ac:dyDescent="0.35">
      <c r="F378" s="19"/>
      <c r="G378" s="20"/>
    </row>
    <row r="379" spans="6:7" s="18" customFormat="1" ht="15.5" x14ac:dyDescent="0.35">
      <c r="F379" s="19"/>
      <c r="G379" s="20"/>
    </row>
    <row r="380" spans="6:7" s="18" customFormat="1" ht="15.5" x14ac:dyDescent="0.35">
      <c r="F380" s="19"/>
      <c r="G380" s="20"/>
    </row>
    <row r="381" spans="6:7" s="18" customFormat="1" ht="15.5" x14ac:dyDescent="0.35">
      <c r="F381" s="19"/>
      <c r="G381" s="20"/>
    </row>
    <row r="382" spans="6:7" s="18" customFormat="1" ht="15.5" x14ac:dyDescent="0.35">
      <c r="F382" s="19"/>
      <c r="G382" s="20"/>
    </row>
    <row r="383" spans="6:7" s="18" customFormat="1" ht="15.5" x14ac:dyDescent="0.35">
      <c r="F383" s="19"/>
      <c r="G383" s="20"/>
    </row>
    <row r="384" spans="6:7" s="18" customFormat="1" ht="15.5" x14ac:dyDescent="0.35">
      <c r="F384" s="19"/>
      <c r="G384" s="20"/>
    </row>
    <row r="385" spans="6:7" s="18" customFormat="1" ht="15.5" x14ac:dyDescent="0.35">
      <c r="F385" s="19"/>
      <c r="G385" s="20"/>
    </row>
    <row r="386" spans="6:7" s="18" customFormat="1" ht="15.5" x14ac:dyDescent="0.35">
      <c r="F386" s="19"/>
      <c r="G386" s="20"/>
    </row>
    <row r="387" spans="6:7" s="18" customFormat="1" ht="15.5" x14ac:dyDescent="0.35">
      <c r="F387" s="19"/>
      <c r="G387" s="20"/>
    </row>
    <row r="388" spans="6:7" s="18" customFormat="1" ht="15.5" x14ac:dyDescent="0.35">
      <c r="F388" s="19"/>
      <c r="G388" s="20"/>
    </row>
    <row r="389" spans="6:7" s="18" customFormat="1" ht="15.5" x14ac:dyDescent="0.35">
      <c r="F389" s="19"/>
      <c r="G389" s="20"/>
    </row>
    <row r="390" spans="6:7" s="18" customFormat="1" ht="15.5" x14ac:dyDescent="0.35">
      <c r="F390" s="19"/>
      <c r="G390" s="20"/>
    </row>
    <row r="391" spans="6:7" s="18" customFormat="1" ht="15.5" x14ac:dyDescent="0.35">
      <c r="F391" s="19"/>
      <c r="G391" s="20"/>
    </row>
    <row r="392" spans="6:7" s="18" customFormat="1" ht="15.5" x14ac:dyDescent="0.35">
      <c r="F392" s="19"/>
      <c r="G392" s="20"/>
    </row>
    <row r="393" spans="6:7" s="18" customFormat="1" ht="15.5" x14ac:dyDescent="0.35">
      <c r="F393" s="19"/>
      <c r="G393" s="20"/>
    </row>
    <row r="394" spans="6:7" s="18" customFormat="1" ht="15.5" x14ac:dyDescent="0.35">
      <c r="F394" s="19"/>
      <c r="G394" s="20"/>
    </row>
    <row r="395" spans="6:7" s="18" customFormat="1" ht="15.5" x14ac:dyDescent="0.35">
      <c r="F395" s="19"/>
      <c r="G395" s="20"/>
    </row>
    <row r="396" spans="6:7" s="18" customFormat="1" ht="15.5" x14ac:dyDescent="0.35">
      <c r="F396" s="19"/>
      <c r="G396" s="20"/>
    </row>
    <row r="397" spans="6:7" s="18" customFormat="1" ht="15.5" x14ac:dyDescent="0.35">
      <c r="F397" s="19"/>
      <c r="G397" s="20"/>
    </row>
    <row r="398" spans="6:7" s="18" customFormat="1" ht="15.5" x14ac:dyDescent="0.35">
      <c r="F398" s="19"/>
      <c r="G398" s="20"/>
    </row>
    <row r="399" spans="6:7" s="18" customFormat="1" ht="15.5" x14ac:dyDescent="0.35">
      <c r="F399" s="19"/>
      <c r="G399" s="20"/>
    </row>
    <row r="400" spans="6:7" s="18" customFormat="1" ht="15.5" x14ac:dyDescent="0.35">
      <c r="F400" s="19"/>
      <c r="G400" s="20"/>
    </row>
    <row r="401" spans="6:7" s="18" customFormat="1" ht="15.5" x14ac:dyDescent="0.35">
      <c r="F401" s="19"/>
      <c r="G401" s="20"/>
    </row>
    <row r="402" spans="6:7" s="18" customFormat="1" ht="15.5" x14ac:dyDescent="0.35">
      <c r="F402" s="19"/>
      <c r="G402" s="20"/>
    </row>
    <row r="403" spans="6:7" s="18" customFormat="1" ht="15.5" x14ac:dyDescent="0.35">
      <c r="F403" s="19"/>
      <c r="G403" s="20"/>
    </row>
    <row r="404" spans="6:7" s="18" customFormat="1" ht="15.5" x14ac:dyDescent="0.35">
      <c r="F404" s="19"/>
      <c r="G404" s="20"/>
    </row>
    <row r="405" spans="6:7" s="18" customFormat="1" ht="15.5" x14ac:dyDescent="0.35">
      <c r="F405" s="19"/>
      <c r="G405" s="20"/>
    </row>
    <row r="406" spans="6:7" s="18" customFormat="1" ht="15.5" x14ac:dyDescent="0.35">
      <c r="F406" s="19"/>
      <c r="G406" s="20"/>
    </row>
    <row r="407" spans="6:7" s="18" customFormat="1" ht="15.5" x14ac:dyDescent="0.35">
      <c r="F407" s="19"/>
      <c r="G407" s="20"/>
    </row>
    <row r="408" spans="6:7" s="18" customFormat="1" ht="15.5" x14ac:dyDescent="0.35">
      <c r="F408" s="19"/>
      <c r="G408" s="20"/>
    </row>
    <row r="409" spans="6:7" s="18" customFormat="1" ht="15.5" x14ac:dyDescent="0.35">
      <c r="F409" s="19"/>
      <c r="G409" s="20"/>
    </row>
    <row r="410" spans="6:7" s="18" customFormat="1" ht="15.5" x14ac:dyDescent="0.35">
      <c r="F410" s="19"/>
      <c r="G410" s="20"/>
    </row>
    <row r="411" spans="6:7" s="18" customFormat="1" ht="15.5" x14ac:dyDescent="0.35">
      <c r="F411" s="19"/>
      <c r="G411" s="20"/>
    </row>
    <row r="412" spans="6:7" s="18" customFormat="1" ht="15.5" x14ac:dyDescent="0.35">
      <c r="F412" s="19"/>
      <c r="G412" s="20"/>
    </row>
    <row r="413" spans="6:7" s="18" customFormat="1" ht="15.5" x14ac:dyDescent="0.35">
      <c r="F413" s="19"/>
      <c r="G413" s="20"/>
    </row>
    <row r="414" spans="6:7" s="18" customFormat="1" ht="15.5" x14ac:dyDescent="0.35">
      <c r="F414" s="19"/>
      <c r="G414" s="20"/>
    </row>
    <row r="415" spans="6:7" s="18" customFormat="1" ht="15.5" x14ac:dyDescent="0.35">
      <c r="F415" s="19"/>
      <c r="G415" s="20"/>
    </row>
    <row r="416" spans="6:7" s="18" customFormat="1" ht="15.5" x14ac:dyDescent="0.35">
      <c r="F416" s="19"/>
      <c r="G416" s="20"/>
    </row>
    <row r="417" spans="6:7" s="18" customFormat="1" ht="15.5" x14ac:dyDescent="0.35">
      <c r="F417" s="19"/>
      <c r="G417" s="20"/>
    </row>
    <row r="418" spans="6:7" s="18" customFormat="1" ht="15.5" x14ac:dyDescent="0.35">
      <c r="F418" s="19"/>
      <c r="G418" s="20"/>
    </row>
    <row r="419" spans="6:7" s="18" customFormat="1" ht="15.5" x14ac:dyDescent="0.35">
      <c r="F419" s="19"/>
      <c r="G419" s="20"/>
    </row>
    <row r="420" spans="6:7" s="18" customFormat="1" ht="15.5" x14ac:dyDescent="0.35">
      <c r="F420" s="19"/>
      <c r="G420" s="20"/>
    </row>
    <row r="421" spans="6:7" s="18" customFormat="1" ht="15.5" x14ac:dyDescent="0.35">
      <c r="F421" s="19"/>
      <c r="G421" s="20"/>
    </row>
    <row r="422" spans="6:7" s="18" customFormat="1" ht="15.5" x14ac:dyDescent="0.35">
      <c r="F422" s="19"/>
      <c r="G422" s="20"/>
    </row>
    <row r="423" spans="6:7" s="18" customFormat="1" ht="15.5" x14ac:dyDescent="0.35">
      <c r="F423" s="19"/>
      <c r="G423" s="20"/>
    </row>
    <row r="424" spans="6:7" s="18" customFormat="1" ht="15.5" x14ac:dyDescent="0.35">
      <c r="F424" s="19"/>
      <c r="G424" s="20"/>
    </row>
    <row r="425" spans="6:7" s="18" customFormat="1" ht="15.5" x14ac:dyDescent="0.35">
      <c r="F425" s="19"/>
      <c r="G425" s="20"/>
    </row>
    <row r="426" spans="6:7" s="18" customFormat="1" ht="15.5" x14ac:dyDescent="0.35">
      <c r="F426" s="19"/>
      <c r="G426" s="20"/>
    </row>
    <row r="427" spans="6:7" s="18" customFormat="1" ht="15.5" x14ac:dyDescent="0.35">
      <c r="F427" s="19"/>
      <c r="G427" s="20"/>
    </row>
    <row r="428" spans="6:7" s="18" customFormat="1" ht="15.5" x14ac:dyDescent="0.35">
      <c r="F428" s="19"/>
      <c r="G428" s="20"/>
    </row>
    <row r="429" spans="6:7" s="18" customFormat="1" ht="15.5" x14ac:dyDescent="0.35">
      <c r="F429" s="19"/>
      <c r="G429" s="20"/>
    </row>
    <row r="430" spans="6:7" s="18" customFormat="1" ht="15.5" x14ac:dyDescent="0.35">
      <c r="F430" s="19"/>
      <c r="G430" s="20"/>
    </row>
    <row r="431" spans="6:7" s="18" customFormat="1" ht="15.5" x14ac:dyDescent="0.35">
      <c r="F431" s="19"/>
      <c r="G431" s="20"/>
    </row>
    <row r="432" spans="6:7" s="18" customFormat="1" ht="15.5" x14ac:dyDescent="0.35">
      <c r="F432" s="19"/>
      <c r="G432" s="20"/>
    </row>
    <row r="433" spans="6:7" s="18" customFormat="1" ht="15.5" x14ac:dyDescent="0.35">
      <c r="F433" s="19"/>
      <c r="G433" s="20"/>
    </row>
    <row r="434" spans="6:7" s="18" customFormat="1" ht="15.5" x14ac:dyDescent="0.35">
      <c r="F434" s="19"/>
      <c r="G434" s="20"/>
    </row>
    <row r="435" spans="6:7" s="18" customFormat="1" ht="15.5" x14ac:dyDescent="0.35">
      <c r="F435" s="19"/>
      <c r="G435" s="20"/>
    </row>
    <row r="436" spans="6:7" s="18" customFormat="1" ht="15.5" x14ac:dyDescent="0.35">
      <c r="F436" s="19"/>
      <c r="G436" s="20"/>
    </row>
    <row r="437" spans="6:7" s="18" customFormat="1" ht="15.5" x14ac:dyDescent="0.35">
      <c r="F437" s="19"/>
      <c r="G437" s="20"/>
    </row>
    <row r="438" spans="6:7" s="18" customFormat="1" ht="15.5" x14ac:dyDescent="0.35">
      <c r="F438" s="19"/>
      <c r="G438" s="20"/>
    </row>
    <row r="439" spans="6:7" s="18" customFormat="1" ht="15.5" x14ac:dyDescent="0.35">
      <c r="F439" s="19"/>
      <c r="G439" s="20"/>
    </row>
    <row r="440" spans="6:7" s="18" customFormat="1" ht="15.5" x14ac:dyDescent="0.35">
      <c r="F440" s="19"/>
      <c r="G440" s="20"/>
    </row>
    <row r="441" spans="6:7" s="18" customFormat="1" ht="15.5" x14ac:dyDescent="0.35">
      <c r="F441" s="19"/>
      <c r="G441" s="20"/>
    </row>
    <row r="442" spans="6:7" s="18" customFormat="1" ht="15.5" x14ac:dyDescent="0.35">
      <c r="F442" s="19"/>
      <c r="G442" s="20"/>
    </row>
    <row r="443" spans="6:7" s="18" customFormat="1" ht="15.5" x14ac:dyDescent="0.35">
      <c r="F443" s="19"/>
      <c r="G443" s="20"/>
    </row>
    <row r="444" spans="6:7" s="18" customFormat="1" ht="15.5" x14ac:dyDescent="0.35">
      <c r="F444" s="19"/>
      <c r="G444" s="20"/>
    </row>
    <row r="445" spans="6:7" s="18" customFormat="1" ht="15.5" x14ac:dyDescent="0.35">
      <c r="F445" s="19"/>
      <c r="G445" s="20"/>
    </row>
    <row r="446" spans="6:7" s="18" customFormat="1" ht="15.5" x14ac:dyDescent="0.35">
      <c r="F446" s="19"/>
      <c r="G446" s="20"/>
    </row>
    <row r="447" spans="6:7" s="18" customFormat="1" ht="15.5" x14ac:dyDescent="0.35">
      <c r="F447" s="19"/>
      <c r="G447" s="20"/>
    </row>
    <row r="448" spans="6:7" s="18" customFormat="1" ht="15.5" x14ac:dyDescent="0.35">
      <c r="F448" s="19"/>
      <c r="G448" s="20"/>
    </row>
    <row r="449" spans="6:7" s="18" customFormat="1" ht="15.5" x14ac:dyDescent="0.35">
      <c r="F449" s="19"/>
      <c r="G449" s="20"/>
    </row>
    <row r="450" spans="6:7" s="18" customFormat="1" ht="15.5" x14ac:dyDescent="0.35">
      <c r="F450" s="19"/>
      <c r="G450" s="20"/>
    </row>
    <row r="451" spans="6:7" s="18" customFormat="1" ht="15.5" x14ac:dyDescent="0.35">
      <c r="F451" s="19"/>
      <c r="G451" s="20"/>
    </row>
    <row r="452" spans="6:7" s="18" customFormat="1" ht="15.5" x14ac:dyDescent="0.35">
      <c r="F452" s="19"/>
      <c r="G452" s="20"/>
    </row>
    <row r="453" spans="6:7" s="18" customFormat="1" ht="15.5" x14ac:dyDescent="0.35">
      <c r="F453" s="19"/>
      <c r="G453" s="20"/>
    </row>
    <row r="454" spans="6:7" s="18" customFormat="1" ht="15.5" x14ac:dyDescent="0.35">
      <c r="F454" s="19"/>
      <c r="G454" s="20"/>
    </row>
    <row r="455" spans="6:7" s="18" customFormat="1" ht="15.5" x14ac:dyDescent="0.35">
      <c r="F455" s="19"/>
      <c r="G455" s="20"/>
    </row>
    <row r="456" spans="6:7" s="18" customFormat="1" ht="15.5" x14ac:dyDescent="0.35">
      <c r="F456" s="19"/>
      <c r="G456" s="20"/>
    </row>
    <row r="457" spans="6:7" s="18" customFormat="1" ht="15.5" x14ac:dyDescent="0.35">
      <c r="F457" s="19"/>
      <c r="G457" s="20"/>
    </row>
    <row r="458" spans="6:7" s="18" customFormat="1" ht="15.5" x14ac:dyDescent="0.35">
      <c r="F458" s="19"/>
      <c r="G458" s="20"/>
    </row>
    <row r="459" spans="6:7" s="18" customFormat="1" ht="15.5" x14ac:dyDescent="0.35">
      <c r="F459" s="19"/>
      <c r="G459" s="20"/>
    </row>
    <row r="460" spans="6:7" s="18" customFormat="1" ht="15.5" x14ac:dyDescent="0.35">
      <c r="F460" s="19"/>
      <c r="G460" s="20"/>
    </row>
    <row r="461" spans="6:7" s="18" customFormat="1" ht="15.5" x14ac:dyDescent="0.35">
      <c r="F461" s="19"/>
      <c r="G461" s="20"/>
    </row>
    <row r="462" spans="6:7" s="18" customFormat="1" ht="15.5" x14ac:dyDescent="0.35">
      <c r="F462" s="19"/>
      <c r="G462" s="20"/>
    </row>
    <row r="463" spans="6:7" s="18" customFormat="1" ht="15.5" x14ac:dyDescent="0.35">
      <c r="F463" s="19"/>
      <c r="G463" s="20"/>
    </row>
    <row r="464" spans="6:7" s="18" customFormat="1" ht="15.5" x14ac:dyDescent="0.35">
      <c r="F464" s="19"/>
      <c r="G464" s="20"/>
    </row>
    <row r="465" spans="6:7" s="18" customFormat="1" ht="15.5" x14ac:dyDescent="0.35">
      <c r="F465" s="19"/>
      <c r="G465" s="20"/>
    </row>
    <row r="466" spans="6:7" s="18" customFormat="1" ht="15.5" x14ac:dyDescent="0.35">
      <c r="F466" s="19"/>
      <c r="G466" s="20"/>
    </row>
    <row r="467" spans="6:7" s="18" customFormat="1" ht="15.5" x14ac:dyDescent="0.35">
      <c r="F467" s="19"/>
      <c r="G467" s="20"/>
    </row>
    <row r="468" spans="6:7" s="18" customFormat="1" ht="15.5" x14ac:dyDescent="0.35">
      <c r="F468" s="19"/>
      <c r="G468" s="20"/>
    </row>
    <row r="469" spans="6:7" s="18" customFormat="1" ht="15.5" x14ac:dyDescent="0.35">
      <c r="F469" s="19"/>
      <c r="G469" s="20"/>
    </row>
    <row r="470" spans="6:7" s="18" customFormat="1" ht="15.5" x14ac:dyDescent="0.35">
      <c r="F470" s="19"/>
      <c r="G470" s="20"/>
    </row>
    <row r="471" spans="6:7" s="18" customFormat="1" ht="15.5" x14ac:dyDescent="0.35">
      <c r="F471" s="19"/>
      <c r="G471" s="20"/>
    </row>
    <row r="472" spans="6:7" s="18" customFormat="1" ht="15.5" x14ac:dyDescent="0.35">
      <c r="F472" s="19"/>
      <c r="G472" s="20"/>
    </row>
    <row r="473" spans="6:7" s="18" customFormat="1" ht="15.5" x14ac:dyDescent="0.35">
      <c r="F473" s="19"/>
      <c r="G473" s="20"/>
    </row>
    <row r="474" spans="6:7" s="18" customFormat="1" ht="15.5" x14ac:dyDescent="0.35">
      <c r="F474" s="19"/>
      <c r="G474" s="20"/>
    </row>
    <row r="475" spans="6:7" s="18" customFormat="1" ht="15.5" x14ac:dyDescent="0.35">
      <c r="F475" s="19"/>
      <c r="G475" s="20"/>
    </row>
    <row r="476" spans="6:7" s="18" customFormat="1" ht="15.5" x14ac:dyDescent="0.35">
      <c r="F476" s="19"/>
      <c r="G476" s="20"/>
    </row>
    <row r="477" spans="6:7" s="18" customFormat="1" ht="15.5" x14ac:dyDescent="0.35">
      <c r="F477" s="19"/>
      <c r="G477" s="20"/>
    </row>
    <row r="478" spans="6:7" s="18" customFormat="1" ht="15.5" x14ac:dyDescent="0.35">
      <c r="F478" s="19"/>
      <c r="G478" s="20"/>
    </row>
    <row r="479" spans="6:7" s="18" customFormat="1" ht="15.5" x14ac:dyDescent="0.35">
      <c r="F479" s="19"/>
      <c r="G479" s="20"/>
    </row>
    <row r="480" spans="6:7" s="18" customFormat="1" ht="15.5" x14ac:dyDescent="0.35">
      <c r="F480" s="19"/>
      <c r="G480" s="20"/>
    </row>
    <row r="481" spans="6:7" s="18" customFormat="1" ht="15.5" x14ac:dyDescent="0.35">
      <c r="F481" s="19"/>
      <c r="G481" s="20"/>
    </row>
    <row r="482" spans="6:7" s="18" customFormat="1" ht="15.5" x14ac:dyDescent="0.35">
      <c r="F482" s="19"/>
      <c r="G482" s="20"/>
    </row>
    <row r="483" spans="6:7" s="18" customFormat="1" ht="15.5" x14ac:dyDescent="0.35">
      <c r="F483" s="19"/>
      <c r="G483" s="20"/>
    </row>
    <row r="484" spans="6:7" s="18" customFormat="1" ht="15.5" x14ac:dyDescent="0.35">
      <c r="F484" s="19"/>
      <c r="G484" s="20"/>
    </row>
    <row r="485" spans="6:7" s="18" customFormat="1" ht="15.5" x14ac:dyDescent="0.35">
      <c r="F485" s="19"/>
      <c r="G485" s="20"/>
    </row>
    <row r="486" spans="6:7" s="18" customFormat="1" ht="15.5" x14ac:dyDescent="0.35">
      <c r="F486" s="19"/>
      <c r="G486" s="20"/>
    </row>
    <row r="487" spans="6:7" s="18" customFormat="1" ht="15.5" x14ac:dyDescent="0.35">
      <c r="F487" s="19"/>
      <c r="G487" s="20"/>
    </row>
    <row r="488" spans="6:7" s="18" customFormat="1" ht="15.5" x14ac:dyDescent="0.35">
      <c r="F488" s="19"/>
      <c r="G488" s="20"/>
    </row>
    <row r="489" spans="6:7" s="18" customFormat="1" ht="15.5" x14ac:dyDescent="0.35">
      <c r="F489" s="19"/>
      <c r="G489" s="20"/>
    </row>
    <row r="490" spans="6:7" s="18" customFormat="1" ht="15.5" x14ac:dyDescent="0.35">
      <c r="F490" s="19"/>
      <c r="G490" s="20"/>
    </row>
    <row r="491" spans="6:7" s="18" customFormat="1" ht="15.5" x14ac:dyDescent="0.35">
      <c r="F491" s="19"/>
      <c r="G491" s="20"/>
    </row>
    <row r="492" spans="6:7" s="18" customFormat="1" ht="15.5" x14ac:dyDescent="0.35">
      <c r="F492" s="19"/>
      <c r="G492" s="20"/>
    </row>
    <row r="493" spans="6:7" s="18" customFormat="1" ht="15.5" x14ac:dyDescent="0.35">
      <c r="F493" s="19"/>
      <c r="G493" s="20"/>
    </row>
    <row r="494" spans="6:7" s="18" customFormat="1" ht="15.5" x14ac:dyDescent="0.35">
      <c r="F494" s="19"/>
      <c r="G494" s="20"/>
    </row>
    <row r="495" spans="6:7" s="18" customFormat="1" ht="15.5" x14ac:dyDescent="0.35">
      <c r="F495" s="19"/>
      <c r="G495" s="20"/>
    </row>
    <row r="496" spans="6:7" s="18" customFormat="1" ht="15.5" x14ac:dyDescent="0.35">
      <c r="F496" s="19"/>
      <c r="G496" s="20"/>
    </row>
    <row r="497" spans="6:7" s="18" customFormat="1" ht="15.5" x14ac:dyDescent="0.35">
      <c r="F497" s="19"/>
      <c r="G497" s="20"/>
    </row>
    <row r="498" spans="6:7" s="18" customFormat="1" ht="15.5" x14ac:dyDescent="0.35">
      <c r="F498" s="19"/>
      <c r="G498" s="20"/>
    </row>
    <row r="499" spans="6:7" s="18" customFormat="1" ht="15.5" x14ac:dyDescent="0.35">
      <c r="F499" s="19"/>
      <c r="G499" s="20"/>
    </row>
    <row r="500" spans="6:7" s="18" customFormat="1" ht="15.5" x14ac:dyDescent="0.35">
      <c r="F500" s="19"/>
      <c r="G500" s="20"/>
    </row>
    <row r="501" spans="6:7" s="18" customFormat="1" ht="15.5" x14ac:dyDescent="0.35">
      <c r="F501" s="19"/>
      <c r="G501" s="20"/>
    </row>
    <row r="502" spans="6:7" s="18" customFormat="1" ht="15.5" x14ac:dyDescent="0.35">
      <c r="F502" s="19"/>
      <c r="G502" s="20"/>
    </row>
    <row r="503" spans="6:7" s="18" customFormat="1" ht="15.5" x14ac:dyDescent="0.35">
      <c r="F503" s="19"/>
      <c r="G503" s="20"/>
    </row>
    <row r="504" spans="6:7" s="18" customFormat="1" ht="15.5" x14ac:dyDescent="0.35">
      <c r="F504" s="19"/>
      <c r="G504" s="20"/>
    </row>
    <row r="505" spans="6:7" s="18" customFormat="1" ht="15.5" x14ac:dyDescent="0.35">
      <c r="F505" s="19"/>
      <c r="G505" s="20"/>
    </row>
    <row r="506" spans="6:7" s="18" customFormat="1" ht="15.5" x14ac:dyDescent="0.35">
      <c r="F506" s="19"/>
      <c r="G506" s="20"/>
    </row>
    <row r="507" spans="6:7" s="18" customFormat="1" ht="15.5" x14ac:dyDescent="0.35">
      <c r="F507" s="19"/>
      <c r="G507" s="20"/>
    </row>
    <row r="508" spans="6:7" s="18" customFormat="1" ht="15.5" x14ac:dyDescent="0.35">
      <c r="F508" s="19"/>
      <c r="G508" s="20"/>
    </row>
    <row r="509" spans="6:7" s="18" customFormat="1" ht="15.5" x14ac:dyDescent="0.35">
      <c r="F509" s="19"/>
      <c r="G509" s="20"/>
    </row>
    <row r="510" spans="6:7" s="18" customFormat="1" ht="15.5" x14ac:dyDescent="0.35">
      <c r="F510" s="19"/>
      <c r="G510" s="20"/>
    </row>
    <row r="511" spans="6:7" s="18" customFormat="1" ht="15.5" x14ac:dyDescent="0.35">
      <c r="F511" s="19"/>
      <c r="G511" s="20"/>
    </row>
    <row r="512" spans="6:7" s="18" customFormat="1" ht="15.5" x14ac:dyDescent="0.35">
      <c r="F512" s="19"/>
      <c r="G512" s="20"/>
    </row>
    <row r="513" spans="6:7" s="18" customFormat="1" ht="15.5" x14ac:dyDescent="0.35">
      <c r="F513" s="19"/>
      <c r="G513" s="20"/>
    </row>
    <row r="514" spans="6:7" s="18" customFormat="1" ht="15.5" x14ac:dyDescent="0.35">
      <c r="F514" s="19"/>
      <c r="G514" s="20"/>
    </row>
    <row r="515" spans="6:7" s="18" customFormat="1" ht="15.5" x14ac:dyDescent="0.35">
      <c r="F515" s="19"/>
      <c r="G515" s="20"/>
    </row>
    <row r="516" spans="6:7" s="18" customFormat="1" ht="15.5" x14ac:dyDescent="0.35">
      <c r="F516" s="19"/>
      <c r="G516" s="20"/>
    </row>
    <row r="517" spans="6:7" s="18" customFormat="1" ht="15.5" x14ac:dyDescent="0.35">
      <c r="F517" s="19"/>
      <c r="G517" s="20"/>
    </row>
    <row r="518" spans="6:7" s="18" customFormat="1" ht="15.5" x14ac:dyDescent="0.35">
      <c r="F518" s="19"/>
      <c r="G518" s="20"/>
    </row>
    <row r="519" spans="6:7" s="18" customFormat="1" ht="15.5" x14ac:dyDescent="0.35">
      <c r="F519" s="19"/>
      <c r="G519" s="20"/>
    </row>
    <row r="520" spans="6:7" s="18" customFormat="1" ht="15.5" x14ac:dyDescent="0.35">
      <c r="F520" s="19"/>
      <c r="G520" s="20"/>
    </row>
    <row r="521" spans="6:7" s="18" customFormat="1" ht="15.5" x14ac:dyDescent="0.35">
      <c r="F521" s="19"/>
      <c r="G521" s="20"/>
    </row>
    <row r="522" spans="6:7" s="18" customFormat="1" ht="15.5" x14ac:dyDescent="0.35">
      <c r="F522" s="19"/>
      <c r="G522" s="20"/>
    </row>
    <row r="523" spans="6:7" s="18" customFormat="1" ht="15.5" x14ac:dyDescent="0.35">
      <c r="F523" s="19"/>
      <c r="G523" s="20"/>
    </row>
    <row r="524" spans="6:7" s="18" customFormat="1" ht="15.5" x14ac:dyDescent="0.35">
      <c r="F524" s="19"/>
      <c r="G524" s="20"/>
    </row>
    <row r="525" spans="6:7" s="18" customFormat="1" ht="15.5" x14ac:dyDescent="0.35">
      <c r="F525" s="19"/>
      <c r="G525" s="20"/>
    </row>
    <row r="526" spans="6:7" s="18" customFormat="1" ht="15.5" x14ac:dyDescent="0.35">
      <c r="F526" s="19"/>
      <c r="G526" s="20"/>
    </row>
    <row r="527" spans="6:7" s="18" customFormat="1" ht="15.5" x14ac:dyDescent="0.35">
      <c r="F527" s="19"/>
      <c r="G527" s="20"/>
    </row>
    <row r="528" spans="6:7" s="18" customFormat="1" ht="15.5" x14ac:dyDescent="0.35">
      <c r="F528" s="19"/>
      <c r="G528" s="20"/>
    </row>
    <row r="529" spans="6:7" s="18" customFormat="1" ht="15.5" x14ac:dyDescent="0.35">
      <c r="F529" s="19"/>
      <c r="G529" s="20"/>
    </row>
    <row r="530" spans="6:7" s="18" customFormat="1" ht="15.5" x14ac:dyDescent="0.35">
      <c r="F530" s="19"/>
      <c r="G530" s="20"/>
    </row>
    <row r="531" spans="6:7" s="18" customFormat="1" ht="15.5" x14ac:dyDescent="0.35">
      <c r="F531" s="19"/>
      <c r="G531" s="20"/>
    </row>
    <row r="532" spans="6:7" s="18" customFormat="1" ht="15.5" x14ac:dyDescent="0.35">
      <c r="F532" s="19"/>
      <c r="G532" s="20"/>
    </row>
    <row r="533" spans="6:7" s="18" customFormat="1" ht="15.5" x14ac:dyDescent="0.35">
      <c r="F533" s="19"/>
      <c r="G533" s="20"/>
    </row>
    <row r="534" spans="6:7" s="18" customFormat="1" ht="15.5" x14ac:dyDescent="0.35">
      <c r="F534" s="19"/>
      <c r="G534" s="20"/>
    </row>
    <row r="535" spans="6:7" s="18" customFormat="1" ht="15.5" x14ac:dyDescent="0.35">
      <c r="F535" s="19"/>
      <c r="G535" s="20"/>
    </row>
    <row r="536" spans="6:7" s="18" customFormat="1" ht="15.5" x14ac:dyDescent="0.35">
      <c r="F536" s="19"/>
      <c r="G536" s="20"/>
    </row>
    <row r="537" spans="6:7" s="18" customFormat="1" ht="15.5" x14ac:dyDescent="0.35">
      <c r="F537" s="19"/>
      <c r="G537" s="20"/>
    </row>
    <row r="538" spans="6:7" s="18" customFormat="1" ht="15.5" x14ac:dyDescent="0.35">
      <c r="F538" s="19"/>
      <c r="G538" s="20"/>
    </row>
    <row r="539" spans="6:7" s="18" customFormat="1" ht="15.5" x14ac:dyDescent="0.35">
      <c r="F539" s="19"/>
      <c r="G539" s="20"/>
    </row>
    <row r="540" spans="6:7" s="18" customFormat="1" ht="15.5" x14ac:dyDescent="0.35">
      <c r="F540" s="19"/>
      <c r="G540" s="20"/>
    </row>
    <row r="541" spans="6:7" s="18" customFormat="1" ht="15.5" x14ac:dyDescent="0.35">
      <c r="F541" s="19"/>
      <c r="G541" s="20"/>
    </row>
    <row r="542" spans="6:7" s="18" customFormat="1" ht="15.5" x14ac:dyDescent="0.35">
      <c r="F542" s="19"/>
      <c r="G542" s="20"/>
    </row>
    <row r="543" spans="6:7" s="18" customFormat="1" ht="15.5" x14ac:dyDescent="0.35">
      <c r="F543" s="19"/>
      <c r="G543" s="20"/>
    </row>
    <row r="544" spans="6:7" s="18" customFormat="1" ht="15.5" x14ac:dyDescent="0.35">
      <c r="F544" s="19"/>
      <c r="G544" s="20"/>
    </row>
    <row r="545" spans="6:7" s="18" customFormat="1" ht="15.5" x14ac:dyDescent="0.35">
      <c r="F545" s="19"/>
      <c r="G545" s="20"/>
    </row>
    <row r="546" spans="6:7" s="18" customFormat="1" ht="15.5" x14ac:dyDescent="0.35">
      <c r="F546" s="19"/>
      <c r="G546" s="20"/>
    </row>
    <row r="547" spans="6:7" s="18" customFormat="1" ht="15.5" x14ac:dyDescent="0.35">
      <c r="F547" s="19"/>
      <c r="G547" s="20"/>
    </row>
    <row r="548" spans="6:7" s="18" customFormat="1" ht="15.5" x14ac:dyDescent="0.35">
      <c r="F548" s="19"/>
      <c r="G548" s="20"/>
    </row>
    <row r="549" spans="6:7" s="18" customFormat="1" ht="15.5" x14ac:dyDescent="0.35">
      <c r="F549" s="19"/>
      <c r="G549" s="20"/>
    </row>
    <row r="550" spans="6:7" s="18" customFormat="1" ht="15.5" x14ac:dyDescent="0.35">
      <c r="F550" s="19"/>
      <c r="G550" s="20"/>
    </row>
    <row r="551" spans="6:7" s="18" customFormat="1" ht="15.5" x14ac:dyDescent="0.35">
      <c r="F551" s="19"/>
      <c r="G551" s="20"/>
    </row>
    <row r="552" spans="6:7" s="18" customFormat="1" ht="15.5" x14ac:dyDescent="0.35">
      <c r="F552" s="19"/>
      <c r="G552" s="20"/>
    </row>
    <row r="553" spans="6:7" s="18" customFormat="1" ht="15.5" x14ac:dyDescent="0.35">
      <c r="F553" s="19"/>
      <c r="G553" s="20"/>
    </row>
    <row r="554" spans="6:7" s="18" customFormat="1" ht="15.5" x14ac:dyDescent="0.35">
      <c r="F554" s="19"/>
      <c r="G554" s="20"/>
    </row>
    <row r="555" spans="6:7" s="18" customFormat="1" ht="15.5" x14ac:dyDescent="0.35">
      <c r="F555" s="19"/>
      <c r="G555" s="20"/>
    </row>
    <row r="556" spans="6:7" s="18" customFormat="1" ht="15.5" x14ac:dyDescent="0.35">
      <c r="F556" s="19"/>
      <c r="G556" s="20"/>
    </row>
    <row r="557" spans="6:7" s="18" customFormat="1" ht="15.5" x14ac:dyDescent="0.35">
      <c r="F557" s="19"/>
      <c r="G557" s="20"/>
    </row>
    <row r="558" spans="6:7" s="18" customFormat="1" ht="15.5" x14ac:dyDescent="0.35">
      <c r="F558" s="19"/>
      <c r="G558" s="20"/>
    </row>
    <row r="559" spans="6:7" s="18" customFormat="1" ht="15.5" x14ac:dyDescent="0.35">
      <c r="F559" s="19"/>
      <c r="G559" s="20"/>
    </row>
    <row r="560" spans="6:7" s="18" customFormat="1" ht="15.5" x14ac:dyDescent="0.35">
      <c r="F560" s="19"/>
      <c r="G560" s="20"/>
    </row>
    <row r="561" spans="6:7" s="18" customFormat="1" ht="15.5" x14ac:dyDescent="0.35">
      <c r="F561" s="19"/>
      <c r="G561" s="20"/>
    </row>
    <row r="562" spans="6:7" s="18" customFormat="1" ht="15.5" x14ac:dyDescent="0.35">
      <c r="F562" s="19"/>
      <c r="G562" s="20"/>
    </row>
    <row r="563" spans="6:7" s="18" customFormat="1" ht="15.5" x14ac:dyDescent="0.35">
      <c r="F563" s="19"/>
      <c r="G563" s="20"/>
    </row>
    <row r="564" spans="6:7" s="18" customFormat="1" ht="15.5" x14ac:dyDescent="0.35">
      <c r="F564" s="19"/>
      <c r="G564" s="20"/>
    </row>
    <row r="565" spans="6:7" s="18" customFormat="1" ht="15.5" x14ac:dyDescent="0.35">
      <c r="F565" s="19"/>
      <c r="G565" s="20"/>
    </row>
    <row r="566" spans="6:7" s="18" customFormat="1" ht="15.5" x14ac:dyDescent="0.35">
      <c r="F566" s="19"/>
      <c r="G566" s="20"/>
    </row>
    <row r="567" spans="6:7" s="18" customFormat="1" ht="15.5" x14ac:dyDescent="0.35">
      <c r="F567" s="19"/>
      <c r="G567" s="20"/>
    </row>
    <row r="568" spans="6:7" s="18" customFormat="1" ht="15.5" x14ac:dyDescent="0.35">
      <c r="F568" s="19"/>
      <c r="G568" s="20"/>
    </row>
    <row r="569" spans="6:7" s="18" customFormat="1" ht="15.5" x14ac:dyDescent="0.35">
      <c r="F569" s="19"/>
      <c r="G569" s="20"/>
    </row>
    <row r="570" spans="6:7" s="18" customFormat="1" ht="15.5" x14ac:dyDescent="0.35">
      <c r="F570" s="19"/>
      <c r="G570" s="20"/>
    </row>
    <row r="571" spans="6:7" s="18" customFormat="1" ht="15.5" x14ac:dyDescent="0.35">
      <c r="F571" s="19"/>
      <c r="G571" s="20"/>
    </row>
    <row r="572" spans="6:7" s="18" customFormat="1" ht="15.5" x14ac:dyDescent="0.35">
      <c r="F572" s="19"/>
      <c r="G572" s="20"/>
    </row>
    <row r="573" spans="6:7" s="18" customFormat="1" ht="15.5" x14ac:dyDescent="0.35">
      <c r="F573" s="19"/>
      <c r="G573" s="20"/>
    </row>
    <row r="574" spans="6:7" s="18" customFormat="1" ht="15.5" x14ac:dyDescent="0.35">
      <c r="F574" s="19"/>
      <c r="G574" s="20"/>
    </row>
    <row r="575" spans="6:7" s="18" customFormat="1" ht="15.5" x14ac:dyDescent="0.35">
      <c r="F575" s="19"/>
      <c r="G575" s="20"/>
    </row>
    <row r="576" spans="6:7" s="18" customFormat="1" ht="15.5" x14ac:dyDescent="0.35">
      <c r="F576" s="19"/>
      <c r="G576" s="20"/>
    </row>
    <row r="577" spans="6:7" s="18" customFormat="1" ht="15.5" x14ac:dyDescent="0.35">
      <c r="F577" s="19"/>
      <c r="G577" s="20"/>
    </row>
    <row r="578" spans="6:7" s="18" customFormat="1" ht="15.5" x14ac:dyDescent="0.35">
      <c r="F578" s="19"/>
      <c r="G578" s="20"/>
    </row>
    <row r="579" spans="6:7" s="18" customFormat="1" ht="15.5" x14ac:dyDescent="0.35">
      <c r="F579" s="19"/>
      <c r="G579" s="20"/>
    </row>
    <row r="580" spans="6:7" s="18" customFormat="1" ht="15.5" x14ac:dyDescent="0.35">
      <c r="F580" s="19"/>
      <c r="G580" s="20"/>
    </row>
    <row r="581" spans="6:7" s="18" customFormat="1" ht="15.5" x14ac:dyDescent="0.35">
      <c r="F581" s="19"/>
      <c r="G581" s="20"/>
    </row>
    <row r="582" spans="6:7" s="18" customFormat="1" ht="15.5" x14ac:dyDescent="0.35">
      <c r="F582" s="19"/>
      <c r="G582" s="20"/>
    </row>
    <row r="583" spans="6:7" s="18" customFormat="1" ht="15.5" x14ac:dyDescent="0.35">
      <c r="F583" s="19"/>
      <c r="G583" s="20"/>
    </row>
    <row r="584" spans="6:7" s="18" customFormat="1" ht="15.5" x14ac:dyDescent="0.35">
      <c r="F584" s="19"/>
      <c r="G584" s="20"/>
    </row>
    <row r="585" spans="6:7" s="18" customFormat="1" ht="15.5" x14ac:dyDescent="0.35">
      <c r="F585" s="19"/>
      <c r="G585" s="20"/>
    </row>
    <row r="586" spans="6:7" s="18" customFormat="1" ht="15.5" x14ac:dyDescent="0.35">
      <c r="F586" s="19"/>
      <c r="G586" s="20"/>
    </row>
    <row r="587" spans="6:7" s="18" customFormat="1" ht="15.5" x14ac:dyDescent="0.35">
      <c r="F587" s="19"/>
      <c r="G587" s="20"/>
    </row>
    <row r="588" spans="6:7" s="18" customFormat="1" ht="15.5" x14ac:dyDescent="0.35">
      <c r="F588" s="19"/>
      <c r="G588" s="20"/>
    </row>
    <row r="589" spans="6:7" s="18" customFormat="1" ht="15.5" x14ac:dyDescent="0.35">
      <c r="F589" s="19"/>
      <c r="G589" s="20"/>
    </row>
    <row r="590" spans="6:7" s="18" customFormat="1" ht="15.5" x14ac:dyDescent="0.35">
      <c r="F590" s="19"/>
      <c r="G590" s="20"/>
    </row>
    <row r="591" spans="6:7" s="18" customFormat="1" ht="15.5" x14ac:dyDescent="0.35">
      <c r="F591" s="19"/>
      <c r="G591" s="20"/>
    </row>
    <row r="592" spans="6:7" s="18" customFormat="1" ht="15.5" x14ac:dyDescent="0.35">
      <c r="F592" s="19"/>
      <c r="G592" s="20"/>
    </row>
    <row r="593" spans="6:7" s="18" customFormat="1" ht="15.5" x14ac:dyDescent="0.35">
      <c r="F593" s="19"/>
      <c r="G593" s="20"/>
    </row>
    <row r="594" spans="6:7" s="18" customFormat="1" ht="15.5" x14ac:dyDescent="0.35">
      <c r="F594" s="19"/>
      <c r="G594" s="20"/>
    </row>
    <row r="595" spans="6:7" s="18" customFormat="1" ht="15.5" x14ac:dyDescent="0.35">
      <c r="F595" s="19"/>
      <c r="G595" s="20"/>
    </row>
    <row r="596" spans="6:7" s="18" customFormat="1" ht="15.5" x14ac:dyDescent="0.35">
      <c r="F596" s="19"/>
      <c r="G596" s="20"/>
    </row>
    <row r="597" spans="6:7" s="18" customFormat="1" ht="15.5" x14ac:dyDescent="0.35">
      <c r="F597" s="19"/>
      <c r="G597" s="20"/>
    </row>
    <row r="598" spans="6:7" s="18" customFormat="1" ht="15.5" x14ac:dyDescent="0.35">
      <c r="F598" s="19"/>
      <c r="G598" s="20"/>
    </row>
    <row r="599" spans="6:7" s="18" customFormat="1" ht="15.5" x14ac:dyDescent="0.35">
      <c r="F599" s="19"/>
      <c r="G599" s="20"/>
    </row>
    <row r="600" spans="6:7" s="18" customFormat="1" ht="15.5" x14ac:dyDescent="0.35">
      <c r="F600" s="19"/>
      <c r="G600" s="20"/>
    </row>
    <row r="601" spans="6:7" s="18" customFormat="1" ht="15.5" x14ac:dyDescent="0.35">
      <c r="F601" s="19"/>
      <c r="G601" s="20"/>
    </row>
    <row r="602" spans="6:7" s="18" customFormat="1" ht="15.5" x14ac:dyDescent="0.35">
      <c r="F602" s="19"/>
      <c r="G602" s="20"/>
    </row>
    <row r="603" spans="6:7" s="18" customFormat="1" ht="15.5" x14ac:dyDescent="0.35">
      <c r="F603" s="19"/>
      <c r="G603" s="20"/>
    </row>
    <row r="604" spans="6:7" s="18" customFormat="1" ht="15.5" x14ac:dyDescent="0.35">
      <c r="F604" s="19"/>
      <c r="G604" s="20"/>
    </row>
    <row r="605" spans="6:7" s="18" customFormat="1" ht="15.5" x14ac:dyDescent="0.35">
      <c r="F605" s="19"/>
      <c r="G605" s="20"/>
    </row>
    <row r="606" spans="6:7" s="18" customFormat="1" ht="15.5" x14ac:dyDescent="0.35">
      <c r="F606" s="19"/>
      <c r="G606" s="20"/>
    </row>
    <row r="607" spans="6:7" s="18" customFormat="1" ht="15.5" x14ac:dyDescent="0.35">
      <c r="F607" s="19"/>
      <c r="G607" s="20"/>
    </row>
    <row r="608" spans="6:7" s="18" customFormat="1" ht="15.5" x14ac:dyDescent="0.35">
      <c r="F608" s="19"/>
      <c r="G608" s="20"/>
    </row>
    <row r="609" spans="6:7" s="18" customFormat="1" ht="15.5" x14ac:dyDescent="0.35">
      <c r="F609" s="19"/>
      <c r="G609" s="20"/>
    </row>
    <row r="610" spans="6:7" s="18" customFormat="1" ht="15.5" x14ac:dyDescent="0.35">
      <c r="F610" s="19"/>
      <c r="G610" s="20"/>
    </row>
    <row r="611" spans="6:7" s="18" customFormat="1" ht="15.5" x14ac:dyDescent="0.35">
      <c r="F611" s="19"/>
      <c r="G611" s="20"/>
    </row>
    <row r="612" spans="6:7" s="18" customFormat="1" ht="15.5" x14ac:dyDescent="0.35">
      <c r="F612" s="19"/>
      <c r="G612" s="20"/>
    </row>
    <row r="613" spans="6:7" s="18" customFormat="1" ht="15.5" x14ac:dyDescent="0.35">
      <c r="F613" s="19"/>
      <c r="G613" s="20"/>
    </row>
    <row r="614" spans="6:7" s="18" customFormat="1" ht="15.5" x14ac:dyDescent="0.35">
      <c r="F614" s="19"/>
      <c r="G614" s="20"/>
    </row>
    <row r="615" spans="6:7" s="18" customFormat="1" ht="15.5" x14ac:dyDescent="0.35">
      <c r="F615" s="19"/>
      <c r="G615" s="20"/>
    </row>
    <row r="616" spans="6:7" s="18" customFormat="1" ht="15.5" x14ac:dyDescent="0.35">
      <c r="F616" s="19"/>
      <c r="G616" s="20"/>
    </row>
    <row r="617" spans="6:7" s="18" customFormat="1" ht="15.5" x14ac:dyDescent="0.35">
      <c r="F617" s="19"/>
      <c r="G617" s="20"/>
    </row>
    <row r="618" spans="6:7" s="18" customFormat="1" ht="15.5" x14ac:dyDescent="0.35">
      <c r="F618" s="19"/>
      <c r="G618" s="20"/>
    </row>
    <row r="619" spans="6:7" s="18" customFormat="1" ht="15.5" x14ac:dyDescent="0.35">
      <c r="F619" s="19"/>
      <c r="G619" s="20"/>
    </row>
    <row r="620" spans="6:7" s="18" customFormat="1" ht="15.5" x14ac:dyDescent="0.35">
      <c r="F620" s="19"/>
      <c r="G620" s="20"/>
    </row>
    <row r="621" spans="6:7" s="18" customFormat="1" ht="15.5" x14ac:dyDescent="0.35">
      <c r="F621" s="19"/>
      <c r="G621" s="20"/>
    </row>
    <row r="622" spans="6:7" s="18" customFormat="1" ht="15.5" x14ac:dyDescent="0.35">
      <c r="F622" s="19"/>
      <c r="G622" s="20"/>
    </row>
    <row r="623" spans="6:7" s="18" customFormat="1" ht="15.5" x14ac:dyDescent="0.35">
      <c r="F623" s="19"/>
      <c r="G623" s="20"/>
    </row>
    <row r="624" spans="6:7" s="18" customFormat="1" ht="15.5" x14ac:dyDescent="0.35">
      <c r="F624" s="19"/>
      <c r="G624" s="20"/>
    </row>
    <row r="625" spans="6:7" s="18" customFormat="1" ht="15.5" x14ac:dyDescent="0.35">
      <c r="F625" s="19"/>
      <c r="G625" s="20"/>
    </row>
    <row r="626" spans="6:7" s="18" customFormat="1" ht="15.5" x14ac:dyDescent="0.35">
      <c r="F626" s="19"/>
      <c r="G626" s="20"/>
    </row>
    <row r="627" spans="6:7" s="18" customFormat="1" ht="15.5" x14ac:dyDescent="0.35">
      <c r="F627" s="19"/>
      <c r="G627" s="20"/>
    </row>
    <row r="628" spans="6:7" s="18" customFormat="1" ht="15.5" x14ac:dyDescent="0.35">
      <c r="F628" s="19"/>
      <c r="G628" s="20"/>
    </row>
    <row r="629" spans="6:7" s="18" customFormat="1" ht="15.5" x14ac:dyDescent="0.35">
      <c r="F629" s="19"/>
      <c r="G629" s="20"/>
    </row>
    <row r="630" spans="6:7" s="18" customFormat="1" ht="15.5" x14ac:dyDescent="0.35">
      <c r="F630" s="19"/>
      <c r="G630" s="20"/>
    </row>
    <row r="631" spans="6:7" s="18" customFormat="1" ht="15.5" x14ac:dyDescent="0.35">
      <c r="F631" s="19"/>
      <c r="G631" s="20"/>
    </row>
    <row r="632" spans="6:7" s="18" customFormat="1" ht="15.5" x14ac:dyDescent="0.35">
      <c r="F632" s="19"/>
      <c r="G632" s="20"/>
    </row>
    <row r="633" spans="6:7" s="18" customFormat="1" ht="15.5" x14ac:dyDescent="0.35">
      <c r="F633" s="19"/>
      <c r="G633" s="20"/>
    </row>
    <row r="634" spans="6:7" s="18" customFormat="1" ht="15.5" x14ac:dyDescent="0.35">
      <c r="F634" s="19"/>
      <c r="G634" s="20"/>
    </row>
    <row r="635" spans="6:7" s="18" customFormat="1" ht="15.5" x14ac:dyDescent="0.35">
      <c r="F635" s="19"/>
      <c r="G635" s="20"/>
    </row>
    <row r="636" spans="6:7" s="18" customFormat="1" ht="15.5" x14ac:dyDescent="0.35">
      <c r="F636" s="19"/>
      <c r="G636" s="20"/>
    </row>
    <row r="637" spans="6:7" s="18" customFormat="1" ht="15.5" x14ac:dyDescent="0.35">
      <c r="F637" s="19"/>
      <c r="G637" s="20"/>
    </row>
    <row r="638" spans="6:7" s="18" customFormat="1" ht="15.5" x14ac:dyDescent="0.35">
      <c r="F638" s="19"/>
      <c r="G638" s="20"/>
    </row>
    <row r="639" spans="6:7" s="18" customFormat="1" ht="15.5" x14ac:dyDescent="0.35">
      <c r="F639" s="19"/>
      <c r="G639" s="20"/>
    </row>
    <row r="640" spans="6:7" s="18" customFormat="1" ht="15.5" x14ac:dyDescent="0.35">
      <c r="F640" s="19"/>
      <c r="G640" s="20"/>
    </row>
    <row r="641" spans="6:7" s="18" customFormat="1" ht="15.5" x14ac:dyDescent="0.35">
      <c r="F641" s="19"/>
      <c r="G641" s="20"/>
    </row>
    <row r="642" spans="6:7" s="18" customFormat="1" ht="15.5" x14ac:dyDescent="0.35">
      <c r="F642" s="19"/>
      <c r="G642" s="20"/>
    </row>
    <row r="643" spans="6:7" s="18" customFormat="1" ht="15.5" x14ac:dyDescent="0.35">
      <c r="F643" s="19"/>
      <c r="G643" s="20"/>
    </row>
    <row r="644" spans="6:7" s="18" customFormat="1" ht="15.5" x14ac:dyDescent="0.35">
      <c r="F644" s="19"/>
      <c r="G644" s="20"/>
    </row>
    <row r="645" spans="6:7" s="18" customFormat="1" ht="15.5" x14ac:dyDescent="0.35">
      <c r="F645" s="19"/>
      <c r="G645" s="20"/>
    </row>
    <row r="646" spans="6:7" s="18" customFormat="1" ht="15.5" x14ac:dyDescent="0.35">
      <c r="F646" s="19"/>
      <c r="G646" s="20"/>
    </row>
    <row r="647" spans="6:7" ht="14.25" customHeight="1" x14ac:dyDescent="0.35">
      <c r="F647" s="2"/>
      <c r="G647" s="3"/>
    </row>
    <row r="648" spans="6:7" ht="14.25" customHeight="1" x14ac:dyDescent="0.35">
      <c r="F648" s="2"/>
      <c r="G648" s="3"/>
    </row>
    <row r="649" spans="6:7" ht="14.25" customHeight="1" x14ac:dyDescent="0.35">
      <c r="F649" s="2"/>
      <c r="G649" s="3"/>
    </row>
    <row r="650" spans="6:7" ht="14.25" customHeight="1" x14ac:dyDescent="0.35">
      <c r="F650" s="2"/>
      <c r="G650" s="3"/>
    </row>
    <row r="651" spans="6:7" ht="14.25" customHeight="1" x14ac:dyDescent="0.35">
      <c r="F651" s="2"/>
      <c r="G651" s="3"/>
    </row>
    <row r="652" spans="6:7" ht="14.25" customHeight="1" x14ac:dyDescent="0.35">
      <c r="F652" s="2"/>
      <c r="G652" s="3"/>
    </row>
    <row r="653" spans="6:7" ht="14.25" customHeight="1" x14ac:dyDescent="0.35">
      <c r="F653" s="2"/>
      <c r="G653" s="3"/>
    </row>
    <row r="654" spans="6:7" ht="14.25" customHeight="1" x14ac:dyDescent="0.35">
      <c r="F654" s="2"/>
      <c r="G654" s="3"/>
    </row>
    <row r="655" spans="6:7" ht="14.25" customHeight="1" x14ac:dyDescent="0.35">
      <c r="F655" s="2"/>
      <c r="G655" s="3"/>
    </row>
    <row r="656" spans="6:7" ht="14.25" customHeight="1" x14ac:dyDescent="0.35">
      <c r="F656" s="2"/>
      <c r="G656" s="3"/>
    </row>
    <row r="657" spans="6:7" ht="14.25" customHeight="1" x14ac:dyDescent="0.35">
      <c r="F657" s="2"/>
      <c r="G657" s="3"/>
    </row>
    <row r="658" spans="6:7" ht="14.25" customHeight="1" x14ac:dyDescent="0.35">
      <c r="F658" s="2"/>
      <c r="G658" s="3"/>
    </row>
    <row r="659" spans="6:7" ht="14.25" customHeight="1" x14ac:dyDescent="0.35">
      <c r="F659" s="2"/>
      <c r="G659" s="3"/>
    </row>
    <row r="660" spans="6:7" ht="14.25" customHeight="1" x14ac:dyDescent="0.35">
      <c r="F660" s="2"/>
      <c r="G660" s="3"/>
    </row>
    <row r="661" spans="6:7" ht="14.25" customHeight="1" x14ac:dyDescent="0.35">
      <c r="F661" s="2"/>
      <c r="G661" s="3"/>
    </row>
    <row r="662" spans="6:7" ht="14.25" customHeight="1" x14ac:dyDescent="0.35">
      <c r="F662" s="2"/>
      <c r="G662" s="3"/>
    </row>
    <row r="663" spans="6:7" ht="14.25" customHeight="1" x14ac:dyDescent="0.35">
      <c r="F663" s="2"/>
      <c r="G663" s="3"/>
    </row>
    <row r="664" spans="6:7" ht="14.25" customHeight="1" x14ac:dyDescent="0.35">
      <c r="F664" s="2"/>
      <c r="G664" s="3"/>
    </row>
    <row r="665" spans="6:7" ht="14.25" customHeight="1" x14ac:dyDescent="0.35">
      <c r="F665" s="2"/>
      <c r="G665" s="3"/>
    </row>
    <row r="666" spans="6:7" ht="14.25" customHeight="1" x14ac:dyDescent="0.35">
      <c r="F666" s="2"/>
      <c r="G666" s="3"/>
    </row>
    <row r="667" spans="6:7" ht="14.25" customHeight="1" x14ac:dyDescent="0.35">
      <c r="F667" s="2"/>
      <c r="G667" s="3"/>
    </row>
    <row r="668" spans="6:7" ht="14.25" customHeight="1" x14ac:dyDescent="0.35">
      <c r="F668" s="2"/>
      <c r="G668" s="3"/>
    </row>
    <row r="669" spans="6:7" ht="14.25" customHeight="1" x14ac:dyDescent="0.35">
      <c r="F669" s="2"/>
      <c r="G669" s="3"/>
    </row>
    <row r="670" spans="6:7" ht="14.25" customHeight="1" x14ac:dyDescent="0.35">
      <c r="F670" s="2"/>
      <c r="G670" s="3"/>
    </row>
    <row r="671" spans="6:7" ht="14.25" customHeight="1" x14ac:dyDescent="0.35">
      <c r="F671" s="2"/>
      <c r="G671" s="3"/>
    </row>
    <row r="672" spans="6:7" ht="14.25" customHeight="1" x14ac:dyDescent="0.35">
      <c r="F672" s="2"/>
      <c r="G672" s="3"/>
    </row>
    <row r="673" spans="6:7" ht="14.25" customHeight="1" x14ac:dyDescent="0.35">
      <c r="F673" s="2"/>
      <c r="G673" s="3"/>
    </row>
    <row r="674" spans="6:7" ht="14.25" customHeight="1" x14ac:dyDescent="0.35">
      <c r="F674" s="2"/>
      <c r="G674" s="3"/>
    </row>
    <row r="675" spans="6:7" ht="14.25" customHeight="1" x14ac:dyDescent="0.35">
      <c r="F675" s="2"/>
      <c r="G675" s="3"/>
    </row>
    <row r="676" spans="6:7" ht="14.25" customHeight="1" x14ac:dyDescent="0.35">
      <c r="F676" s="2"/>
      <c r="G676" s="3"/>
    </row>
    <row r="677" spans="6:7" ht="14.25" customHeight="1" x14ac:dyDescent="0.35">
      <c r="F677" s="2"/>
      <c r="G677" s="3"/>
    </row>
    <row r="678" spans="6:7" ht="14.25" customHeight="1" x14ac:dyDescent="0.35">
      <c r="F678" s="2"/>
      <c r="G678" s="3"/>
    </row>
    <row r="679" spans="6:7" ht="14.25" customHeight="1" x14ac:dyDescent="0.35">
      <c r="F679" s="2"/>
      <c r="G679" s="3"/>
    </row>
    <row r="680" spans="6:7" ht="14.25" customHeight="1" x14ac:dyDescent="0.35">
      <c r="F680" s="2"/>
      <c r="G680" s="3"/>
    </row>
    <row r="681" spans="6:7" ht="14.25" customHeight="1" x14ac:dyDescent="0.35">
      <c r="F681" s="2"/>
      <c r="G681" s="3"/>
    </row>
    <row r="682" spans="6:7" ht="14.25" customHeight="1" x14ac:dyDescent="0.35">
      <c r="F682" s="2"/>
      <c r="G682" s="3"/>
    </row>
    <row r="683" spans="6:7" ht="14.25" customHeight="1" x14ac:dyDescent="0.35">
      <c r="F683" s="2"/>
      <c r="G683" s="3"/>
    </row>
    <row r="684" spans="6:7" ht="14.25" customHeight="1" x14ac:dyDescent="0.35">
      <c r="F684" s="2"/>
      <c r="G684" s="3"/>
    </row>
    <row r="685" spans="6:7" ht="14.25" customHeight="1" x14ac:dyDescent="0.35">
      <c r="F685" s="2"/>
      <c r="G685" s="3"/>
    </row>
    <row r="686" spans="6:7" ht="14.25" customHeight="1" x14ac:dyDescent="0.35">
      <c r="F686" s="2"/>
      <c r="G686" s="3"/>
    </row>
    <row r="687" spans="6:7" ht="14.25" customHeight="1" x14ac:dyDescent="0.35">
      <c r="F687" s="2"/>
      <c r="G687" s="3"/>
    </row>
    <row r="688" spans="6:7" ht="14.25" customHeight="1" x14ac:dyDescent="0.35">
      <c r="F688" s="2"/>
      <c r="G688" s="3"/>
    </row>
    <row r="689" spans="6:7" ht="14.25" customHeight="1" x14ac:dyDescent="0.35">
      <c r="F689" s="2"/>
      <c r="G689" s="3"/>
    </row>
    <row r="690" spans="6:7" ht="14.25" customHeight="1" x14ac:dyDescent="0.35">
      <c r="F690" s="2"/>
      <c r="G690" s="3"/>
    </row>
    <row r="691" spans="6:7" ht="14.25" customHeight="1" x14ac:dyDescent="0.35">
      <c r="F691" s="2"/>
      <c r="G691" s="3"/>
    </row>
    <row r="692" spans="6:7" ht="14.25" customHeight="1" x14ac:dyDescent="0.35">
      <c r="F692" s="2"/>
      <c r="G692" s="3"/>
    </row>
    <row r="693" spans="6:7" ht="14.25" customHeight="1" x14ac:dyDescent="0.35">
      <c r="F693" s="2"/>
      <c r="G693" s="3"/>
    </row>
    <row r="694" spans="6:7" ht="14.25" customHeight="1" x14ac:dyDescent="0.35">
      <c r="F694" s="2"/>
      <c r="G694" s="3"/>
    </row>
    <row r="695" spans="6:7" ht="14.25" customHeight="1" x14ac:dyDescent="0.35">
      <c r="F695" s="2"/>
      <c r="G695" s="3"/>
    </row>
    <row r="696" spans="6:7" ht="14.25" customHeight="1" x14ac:dyDescent="0.35">
      <c r="F696" s="2"/>
      <c r="G696" s="3"/>
    </row>
    <row r="697" spans="6:7" ht="14.25" customHeight="1" x14ac:dyDescent="0.35">
      <c r="F697" s="2"/>
      <c r="G697" s="3"/>
    </row>
    <row r="698" spans="6:7" ht="14.25" customHeight="1" x14ac:dyDescent="0.35">
      <c r="F698" s="2"/>
      <c r="G698" s="3"/>
    </row>
    <row r="699" spans="6:7" ht="14.25" customHeight="1" x14ac:dyDescent="0.35">
      <c r="F699" s="2"/>
      <c r="G699" s="3"/>
    </row>
    <row r="700" spans="6:7" ht="14.25" customHeight="1" x14ac:dyDescent="0.35">
      <c r="F700" s="2"/>
      <c r="G700" s="3"/>
    </row>
    <row r="701" spans="6:7" ht="14.25" customHeight="1" x14ac:dyDescent="0.35">
      <c r="F701" s="2"/>
      <c r="G701" s="3"/>
    </row>
    <row r="702" spans="6:7" ht="14.25" customHeight="1" x14ac:dyDescent="0.35">
      <c r="F702" s="2"/>
      <c r="G702" s="3"/>
    </row>
    <row r="703" spans="6:7" ht="14.25" customHeight="1" x14ac:dyDescent="0.35">
      <c r="F703" s="2"/>
      <c r="G703" s="3"/>
    </row>
    <row r="704" spans="6:7" ht="14.25" customHeight="1" x14ac:dyDescent="0.35">
      <c r="F704" s="2"/>
      <c r="G704" s="3"/>
    </row>
    <row r="705" spans="6:7" ht="14.25" customHeight="1" x14ac:dyDescent="0.35">
      <c r="F705" s="2"/>
      <c r="G705" s="3"/>
    </row>
    <row r="706" spans="6:7" ht="14.25" customHeight="1" x14ac:dyDescent="0.35">
      <c r="F706" s="2"/>
      <c r="G706" s="3"/>
    </row>
    <row r="707" spans="6:7" ht="14.25" customHeight="1" x14ac:dyDescent="0.35">
      <c r="F707" s="2"/>
      <c r="G707" s="3"/>
    </row>
    <row r="708" spans="6:7" ht="14.25" customHeight="1" x14ac:dyDescent="0.35">
      <c r="F708" s="2"/>
      <c r="G708" s="3"/>
    </row>
    <row r="709" spans="6:7" ht="14.25" customHeight="1" x14ac:dyDescent="0.35">
      <c r="F709" s="2"/>
      <c r="G709" s="3"/>
    </row>
    <row r="710" spans="6:7" ht="14.25" customHeight="1" x14ac:dyDescent="0.35">
      <c r="F710" s="2"/>
      <c r="G710" s="3"/>
    </row>
    <row r="711" spans="6:7" ht="14.25" customHeight="1" x14ac:dyDescent="0.35">
      <c r="F711" s="2"/>
      <c r="G711" s="3"/>
    </row>
    <row r="712" spans="6:7" ht="14.25" customHeight="1" x14ac:dyDescent="0.35">
      <c r="F712" s="2"/>
      <c r="G712" s="3"/>
    </row>
    <row r="713" spans="6:7" ht="14.25" customHeight="1" x14ac:dyDescent="0.35">
      <c r="F713" s="2"/>
      <c r="G713" s="3"/>
    </row>
    <row r="714" spans="6:7" ht="14.25" customHeight="1" x14ac:dyDescent="0.35">
      <c r="F714" s="2"/>
      <c r="G714" s="3"/>
    </row>
    <row r="715" spans="6:7" ht="14.25" customHeight="1" x14ac:dyDescent="0.35">
      <c r="F715" s="2"/>
      <c r="G715" s="3"/>
    </row>
    <row r="716" spans="6:7" ht="14.25" customHeight="1" x14ac:dyDescent="0.35">
      <c r="F716" s="2"/>
      <c r="G716" s="3"/>
    </row>
    <row r="717" spans="6:7" ht="14.25" customHeight="1" x14ac:dyDescent="0.35">
      <c r="F717" s="2"/>
      <c r="G717" s="3"/>
    </row>
    <row r="718" spans="6:7" ht="14.25" customHeight="1" x14ac:dyDescent="0.35">
      <c r="F718" s="2"/>
      <c r="G718" s="3"/>
    </row>
    <row r="719" spans="6:7" ht="14.25" customHeight="1" x14ac:dyDescent="0.35">
      <c r="F719" s="2"/>
      <c r="G719" s="3"/>
    </row>
    <row r="720" spans="6:7" ht="14.25" customHeight="1" x14ac:dyDescent="0.35">
      <c r="F720" s="2"/>
      <c r="G720" s="3"/>
    </row>
    <row r="721" spans="6:7" ht="14.25" customHeight="1" x14ac:dyDescent="0.35">
      <c r="F721" s="2"/>
      <c r="G721" s="3"/>
    </row>
    <row r="722" spans="6:7" ht="14.25" customHeight="1" x14ac:dyDescent="0.35">
      <c r="F722" s="2"/>
      <c r="G722" s="3"/>
    </row>
    <row r="723" spans="6:7" ht="14.25" customHeight="1" x14ac:dyDescent="0.35">
      <c r="F723" s="2"/>
      <c r="G723" s="3"/>
    </row>
    <row r="724" spans="6:7" ht="14.25" customHeight="1" x14ac:dyDescent="0.35">
      <c r="F724" s="2"/>
      <c r="G724" s="3"/>
    </row>
    <row r="725" spans="6:7" ht="14.25" customHeight="1" x14ac:dyDescent="0.35">
      <c r="F725" s="2"/>
      <c r="G725" s="3"/>
    </row>
    <row r="726" spans="6:7" ht="14.25" customHeight="1" x14ac:dyDescent="0.35">
      <c r="F726" s="2"/>
      <c r="G726" s="3"/>
    </row>
    <row r="727" spans="6:7" ht="14.25" customHeight="1" x14ac:dyDescent="0.35">
      <c r="F727" s="2"/>
      <c r="G727" s="3"/>
    </row>
    <row r="728" spans="6:7" ht="14.25" customHeight="1" x14ac:dyDescent="0.35">
      <c r="F728" s="2"/>
      <c r="G728" s="3"/>
    </row>
    <row r="729" spans="6:7" ht="14.25" customHeight="1" x14ac:dyDescent="0.35">
      <c r="F729" s="2"/>
      <c r="G729" s="3"/>
    </row>
    <row r="730" spans="6:7" ht="14.25" customHeight="1" x14ac:dyDescent="0.35">
      <c r="F730" s="2"/>
      <c r="G730" s="3"/>
    </row>
    <row r="731" spans="6:7" ht="14.25" customHeight="1" x14ac:dyDescent="0.35">
      <c r="F731" s="2"/>
      <c r="G731" s="3"/>
    </row>
    <row r="732" spans="6:7" ht="14.25" customHeight="1" x14ac:dyDescent="0.35">
      <c r="F732" s="2"/>
      <c r="G732" s="3"/>
    </row>
    <row r="733" spans="6:7" ht="14.25" customHeight="1" x14ac:dyDescent="0.35">
      <c r="F733" s="2"/>
      <c r="G733" s="3"/>
    </row>
    <row r="734" spans="6:7" ht="14.25" customHeight="1" x14ac:dyDescent="0.35">
      <c r="F734" s="2"/>
      <c r="G734" s="3"/>
    </row>
    <row r="735" spans="6:7" ht="14.25" customHeight="1" x14ac:dyDescent="0.35">
      <c r="F735" s="2"/>
      <c r="G735" s="3"/>
    </row>
    <row r="736" spans="6:7" ht="14.25" customHeight="1" x14ac:dyDescent="0.35">
      <c r="F736" s="2"/>
      <c r="G736" s="3"/>
    </row>
    <row r="737" spans="6:7" ht="14.25" customHeight="1" x14ac:dyDescent="0.35">
      <c r="F737" s="2"/>
      <c r="G737" s="3"/>
    </row>
    <row r="738" spans="6:7" ht="14.25" customHeight="1" x14ac:dyDescent="0.35">
      <c r="F738" s="2"/>
      <c r="G738" s="3"/>
    </row>
    <row r="739" spans="6:7" ht="14.25" customHeight="1" x14ac:dyDescent="0.35">
      <c r="F739" s="2"/>
      <c r="G739" s="3"/>
    </row>
    <row r="740" spans="6:7" ht="14.25" customHeight="1" x14ac:dyDescent="0.35">
      <c r="F740" s="2"/>
      <c r="G740" s="3"/>
    </row>
    <row r="741" spans="6:7" ht="14.25" customHeight="1" x14ac:dyDescent="0.35">
      <c r="F741" s="2"/>
      <c r="G741" s="3"/>
    </row>
    <row r="742" spans="6:7" ht="14.25" customHeight="1" x14ac:dyDescent="0.35">
      <c r="F742" s="2"/>
      <c r="G742" s="3"/>
    </row>
    <row r="743" spans="6:7" ht="14.25" customHeight="1" x14ac:dyDescent="0.35">
      <c r="F743" s="2"/>
      <c r="G743" s="3"/>
    </row>
    <row r="744" spans="6:7" ht="14.25" customHeight="1" x14ac:dyDescent="0.35">
      <c r="F744" s="2"/>
      <c r="G744" s="3"/>
    </row>
    <row r="745" spans="6:7" ht="14.25" customHeight="1" x14ac:dyDescent="0.35">
      <c r="F745" s="2"/>
      <c r="G745" s="3"/>
    </row>
    <row r="746" spans="6:7" ht="14.25" customHeight="1" x14ac:dyDescent="0.35">
      <c r="F746" s="2"/>
      <c r="G746" s="3"/>
    </row>
    <row r="747" spans="6:7" ht="14.25" customHeight="1" x14ac:dyDescent="0.35">
      <c r="F747" s="2"/>
      <c r="G747" s="3"/>
    </row>
    <row r="748" spans="6:7" ht="14.25" customHeight="1" x14ac:dyDescent="0.35">
      <c r="F748" s="2"/>
      <c r="G748" s="3"/>
    </row>
    <row r="749" spans="6:7" ht="14.25" customHeight="1" x14ac:dyDescent="0.35">
      <c r="F749" s="2"/>
      <c r="G749" s="3"/>
    </row>
    <row r="750" spans="6:7" ht="14.25" customHeight="1" x14ac:dyDescent="0.35">
      <c r="F750" s="2"/>
      <c r="G750" s="3"/>
    </row>
    <row r="751" spans="6:7" ht="14.25" customHeight="1" x14ac:dyDescent="0.35">
      <c r="F751" s="2"/>
      <c r="G751" s="3"/>
    </row>
    <row r="752" spans="6:7" ht="14.25" customHeight="1" x14ac:dyDescent="0.35">
      <c r="F752" s="2"/>
      <c r="G752" s="3"/>
    </row>
    <row r="753" spans="6:7" ht="14.25" customHeight="1" x14ac:dyDescent="0.35">
      <c r="F753" s="2"/>
      <c r="G753" s="3"/>
    </row>
    <row r="754" spans="6:7" ht="14.25" customHeight="1" x14ac:dyDescent="0.35">
      <c r="F754" s="2"/>
      <c r="G754" s="3"/>
    </row>
    <row r="755" spans="6:7" ht="14.25" customHeight="1" x14ac:dyDescent="0.35">
      <c r="F755" s="2"/>
      <c r="G755" s="3"/>
    </row>
    <row r="756" spans="6:7" ht="14.25" customHeight="1" x14ac:dyDescent="0.35">
      <c r="F756" s="2"/>
      <c r="G756" s="3"/>
    </row>
    <row r="757" spans="6:7" ht="14.25" customHeight="1" x14ac:dyDescent="0.35">
      <c r="F757" s="2"/>
      <c r="G757" s="3"/>
    </row>
    <row r="758" spans="6:7" ht="14.25" customHeight="1" x14ac:dyDescent="0.35">
      <c r="F758" s="2"/>
      <c r="G758" s="3"/>
    </row>
    <row r="759" spans="6:7" ht="14.25" customHeight="1" x14ac:dyDescent="0.35">
      <c r="F759" s="2"/>
      <c r="G759" s="3"/>
    </row>
    <row r="760" spans="6:7" ht="14.25" customHeight="1" x14ac:dyDescent="0.35">
      <c r="F760" s="2"/>
      <c r="G760" s="3"/>
    </row>
    <row r="761" spans="6:7" ht="14.25" customHeight="1" x14ac:dyDescent="0.35">
      <c r="F761" s="2"/>
      <c r="G761" s="3"/>
    </row>
    <row r="762" spans="6:7" ht="14.25" customHeight="1" x14ac:dyDescent="0.35">
      <c r="F762" s="2"/>
      <c r="G762" s="3"/>
    </row>
    <row r="763" spans="6:7" ht="14.25" customHeight="1" x14ac:dyDescent="0.35">
      <c r="F763" s="2"/>
      <c r="G763" s="3"/>
    </row>
    <row r="764" spans="6:7" ht="14.25" customHeight="1" x14ac:dyDescent="0.35">
      <c r="F764" s="2"/>
      <c r="G764" s="3"/>
    </row>
    <row r="765" spans="6:7" ht="14.25" customHeight="1" x14ac:dyDescent="0.35">
      <c r="F765" s="2"/>
      <c r="G765" s="3"/>
    </row>
    <row r="766" spans="6:7" ht="14.25" customHeight="1" x14ac:dyDescent="0.35">
      <c r="F766" s="2"/>
      <c r="G766" s="3"/>
    </row>
    <row r="767" spans="6:7" ht="14.25" customHeight="1" x14ac:dyDescent="0.35">
      <c r="F767" s="2"/>
      <c r="G767" s="3"/>
    </row>
    <row r="768" spans="6:7" ht="14.25" customHeight="1" x14ac:dyDescent="0.35">
      <c r="F768" s="2"/>
      <c r="G768" s="3"/>
    </row>
    <row r="769" spans="6:7" ht="14.25" customHeight="1" x14ac:dyDescent="0.35">
      <c r="F769" s="2"/>
      <c r="G769" s="3"/>
    </row>
    <row r="770" spans="6:7" ht="14.25" customHeight="1" x14ac:dyDescent="0.35">
      <c r="F770" s="2"/>
      <c r="G770" s="3"/>
    </row>
    <row r="771" spans="6:7" ht="14.25" customHeight="1" x14ac:dyDescent="0.35">
      <c r="F771" s="2"/>
      <c r="G771" s="3"/>
    </row>
    <row r="772" spans="6:7" ht="14.25" customHeight="1" x14ac:dyDescent="0.35">
      <c r="F772" s="2"/>
      <c r="G772" s="3"/>
    </row>
    <row r="773" spans="6:7" ht="14.25" customHeight="1" x14ac:dyDescent="0.35">
      <c r="F773" s="2"/>
      <c r="G773" s="3"/>
    </row>
    <row r="774" spans="6:7" ht="14.25" customHeight="1" x14ac:dyDescent="0.35">
      <c r="F774" s="2"/>
      <c r="G774" s="3"/>
    </row>
    <row r="775" spans="6:7" ht="14.25" customHeight="1" x14ac:dyDescent="0.35">
      <c r="F775" s="2"/>
      <c r="G775" s="3"/>
    </row>
    <row r="776" spans="6:7" ht="14.25" customHeight="1" x14ac:dyDescent="0.35">
      <c r="F776" s="2"/>
      <c r="G776" s="3"/>
    </row>
    <row r="777" spans="6:7" ht="14.25" customHeight="1" x14ac:dyDescent="0.35">
      <c r="F777" s="2"/>
      <c r="G777" s="3"/>
    </row>
    <row r="778" spans="6:7" ht="14.25" customHeight="1" x14ac:dyDescent="0.35">
      <c r="F778" s="2"/>
      <c r="G778" s="3"/>
    </row>
    <row r="779" spans="6:7" ht="14.25" customHeight="1" x14ac:dyDescent="0.35">
      <c r="F779" s="2"/>
      <c r="G779" s="3"/>
    </row>
    <row r="780" spans="6:7" ht="14.25" customHeight="1" x14ac:dyDescent="0.35">
      <c r="F780" s="2"/>
      <c r="G780" s="3"/>
    </row>
    <row r="781" spans="6:7" ht="14.25" customHeight="1" x14ac:dyDescent="0.35">
      <c r="F781" s="2"/>
      <c r="G781" s="3"/>
    </row>
    <row r="782" spans="6:7" ht="14.25" customHeight="1" x14ac:dyDescent="0.35">
      <c r="F782" s="2"/>
      <c r="G782" s="3"/>
    </row>
    <row r="783" spans="6:7" ht="14.25" customHeight="1" x14ac:dyDescent="0.35">
      <c r="F783" s="2"/>
      <c r="G783" s="3"/>
    </row>
    <row r="784" spans="6:7" ht="14.25" customHeight="1" x14ac:dyDescent="0.35">
      <c r="F784" s="2"/>
      <c r="G784" s="3"/>
    </row>
    <row r="785" spans="6:7" ht="14.25" customHeight="1" x14ac:dyDescent="0.35">
      <c r="F785" s="2"/>
      <c r="G785" s="3"/>
    </row>
    <row r="786" spans="6:7" ht="14.25" customHeight="1" x14ac:dyDescent="0.35">
      <c r="F786" s="2"/>
      <c r="G786" s="3"/>
    </row>
    <row r="787" spans="6:7" ht="14.25" customHeight="1" x14ac:dyDescent="0.35">
      <c r="F787" s="2"/>
      <c r="G787" s="3"/>
    </row>
    <row r="788" spans="6:7" ht="14.25" customHeight="1" x14ac:dyDescent="0.35">
      <c r="F788" s="2"/>
      <c r="G788" s="3"/>
    </row>
    <row r="789" spans="6:7" ht="14.25" customHeight="1" x14ac:dyDescent="0.35">
      <c r="F789" s="2"/>
      <c r="G789" s="3"/>
    </row>
    <row r="790" spans="6:7" ht="14.25" customHeight="1" x14ac:dyDescent="0.35">
      <c r="F790" s="2"/>
      <c r="G790" s="3"/>
    </row>
    <row r="791" spans="6:7" ht="14.25" customHeight="1" x14ac:dyDescent="0.35">
      <c r="F791" s="2"/>
      <c r="G791" s="3"/>
    </row>
    <row r="792" spans="6:7" ht="14.25" customHeight="1" x14ac:dyDescent="0.35">
      <c r="F792" s="2"/>
      <c r="G792" s="3"/>
    </row>
    <row r="793" spans="6:7" ht="14.25" customHeight="1" x14ac:dyDescent="0.35">
      <c r="F793" s="2"/>
      <c r="G793" s="3"/>
    </row>
    <row r="794" spans="6:7" ht="14.25" customHeight="1" x14ac:dyDescent="0.35">
      <c r="F794" s="2"/>
      <c r="G794" s="3"/>
    </row>
    <row r="795" spans="6:7" ht="14.25" customHeight="1" x14ac:dyDescent="0.35">
      <c r="F795" s="2"/>
      <c r="G795" s="3"/>
    </row>
    <row r="796" spans="6:7" ht="14.25" customHeight="1" x14ac:dyDescent="0.35">
      <c r="F796" s="2"/>
      <c r="G796" s="3"/>
    </row>
    <row r="797" spans="6:7" ht="14.25" customHeight="1" x14ac:dyDescent="0.35">
      <c r="F797" s="2"/>
      <c r="G797" s="3"/>
    </row>
    <row r="798" spans="6:7" ht="14.25" customHeight="1" x14ac:dyDescent="0.35">
      <c r="F798" s="2"/>
      <c r="G798" s="3"/>
    </row>
    <row r="799" spans="6:7" ht="14.25" customHeight="1" x14ac:dyDescent="0.35">
      <c r="F799" s="2"/>
      <c r="G799" s="3"/>
    </row>
    <row r="800" spans="6:7" ht="14.25" customHeight="1" x14ac:dyDescent="0.35">
      <c r="F800" s="2"/>
      <c r="G800" s="3"/>
    </row>
    <row r="801" spans="6:7" ht="14.25" customHeight="1" x14ac:dyDescent="0.35">
      <c r="F801" s="2"/>
      <c r="G801" s="3"/>
    </row>
    <row r="802" spans="6:7" ht="14.25" customHeight="1" x14ac:dyDescent="0.35">
      <c r="F802" s="2"/>
      <c r="G802" s="3"/>
    </row>
    <row r="803" spans="6:7" ht="14.25" customHeight="1" x14ac:dyDescent="0.35">
      <c r="F803" s="2"/>
      <c r="G803" s="3"/>
    </row>
    <row r="804" spans="6:7" ht="14.25" customHeight="1" x14ac:dyDescent="0.35">
      <c r="F804" s="2"/>
      <c r="G804" s="3"/>
    </row>
    <row r="805" spans="6:7" ht="14.25" customHeight="1" x14ac:dyDescent="0.35">
      <c r="F805" s="2"/>
      <c r="G805" s="3"/>
    </row>
    <row r="806" spans="6:7" ht="14.25" customHeight="1" x14ac:dyDescent="0.35">
      <c r="F806" s="2"/>
      <c r="G806" s="3"/>
    </row>
    <row r="807" spans="6:7" ht="14.25" customHeight="1" x14ac:dyDescent="0.35">
      <c r="F807" s="2"/>
      <c r="G807" s="3"/>
    </row>
    <row r="808" spans="6:7" ht="14.25" customHeight="1" x14ac:dyDescent="0.35">
      <c r="F808" s="2"/>
      <c r="G808" s="3"/>
    </row>
    <row r="809" spans="6:7" ht="14.25" customHeight="1" x14ac:dyDescent="0.35">
      <c r="F809" s="2"/>
      <c r="G809" s="3"/>
    </row>
    <row r="810" spans="6:7" ht="14.25" customHeight="1" x14ac:dyDescent="0.35">
      <c r="F810" s="2"/>
      <c r="G810" s="3"/>
    </row>
    <row r="811" spans="6:7" ht="14.25" customHeight="1" x14ac:dyDescent="0.35">
      <c r="F811" s="2"/>
      <c r="G811" s="3"/>
    </row>
    <row r="812" spans="6:7" ht="14.25" customHeight="1" x14ac:dyDescent="0.35">
      <c r="F812" s="2"/>
      <c r="G812" s="3"/>
    </row>
    <row r="813" spans="6:7" ht="14.25" customHeight="1" x14ac:dyDescent="0.35">
      <c r="F813" s="2"/>
      <c r="G813" s="3"/>
    </row>
    <row r="814" spans="6:7" ht="14.25" customHeight="1" x14ac:dyDescent="0.35">
      <c r="F814" s="2"/>
      <c r="G814" s="3"/>
    </row>
    <row r="815" spans="6:7" ht="14.25" customHeight="1" x14ac:dyDescent="0.35">
      <c r="F815" s="2"/>
      <c r="G815" s="3"/>
    </row>
    <row r="816" spans="6:7" ht="14.25" customHeight="1" x14ac:dyDescent="0.35">
      <c r="F816" s="2"/>
      <c r="G816" s="3"/>
    </row>
    <row r="817" spans="6:7" ht="14.25" customHeight="1" x14ac:dyDescent="0.35">
      <c r="F817" s="2"/>
      <c r="G817" s="3"/>
    </row>
    <row r="818" spans="6:7" ht="14.25" customHeight="1" x14ac:dyDescent="0.35">
      <c r="F818" s="2"/>
      <c r="G818" s="3"/>
    </row>
    <row r="819" spans="6:7" ht="14.25" customHeight="1" x14ac:dyDescent="0.35">
      <c r="F819" s="2"/>
      <c r="G819" s="3"/>
    </row>
    <row r="820" spans="6:7" ht="14.25" customHeight="1" x14ac:dyDescent="0.35">
      <c r="F820" s="2"/>
      <c r="G820" s="3"/>
    </row>
    <row r="821" spans="6:7" ht="14.25" customHeight="1" x14ac:dyDescent="0.35">
      <c r="F821" s="2"/>
      <c r="G821" s="3"/>
    </row>
    <row r="822" spans="6:7" ht="14.25" customHeight="1" x14ac:dyDescent="0.35">
      <c r="F822" s="2"/>
      <c r="G822" s="3"/>
    </row>
    <row r="823" spans="6:7" ht="14.25" customHeight="1" x14ac:dyDescent="0.35">
      <c r="F823" s="2"/>
      <c r="G823" s="3"/>
    </row>
    <row r="824" spans="6:7" ht="14.25" customHeight="1" x14ac:dyDescent="0.35">
      <c r="F824" s="2"/>
      <c r="G824" s="3"/>
    </row>
    <row r="825" spans="6:7" ht="14.25" customHeight="1" x14ac:dyDescent="0.35">
      <c r="F825" s="2"/>
      <c r="G825" s="3"/>
    </row>
    <row r="826" spans="6:7" ht="14.25" customHeight="1" x14ac:dyDescent="0.35">
      <c r="F826" s="2"/>
      <c r="G826" s="3"/>
    </row>
    <row r="827" spans="6:7" ht="14.25" customHeight="1" x14ac:dyDescent="0.35">
      <c r="F827" s="2"/>
      <c r="G827" s="3"/>
    </row>
    <row r="828" spans="6:7" ht="14.25" customHeight="1" x14ac:dyDescent="0.35">
      <c r="F828" s="2"/>
      <c r="G828" s="3"/>
    </row>
    <row r="829" spans="6:7" ht="14.25" customHeight="1" x14ac:dyDescent="0.35">
      <c r="F829" s="2"/>
      <c r="G829" s="3"/>
    </row>
    <row r="830" spans="6:7" ht="14.25" customHeight="1" x14ac:dyDescent="0.35">
      <c r="F830" s="2"/>
      <c r="G830" s="3"/>
    </row>
    <row r="831" spans="6:7" ht="14.25" customHeight="1" x14ac:dyDescent="0.35">
      <c r="F831" s="2"/>
      <c r="G831" s="3"/>
    </row>
    <row r="832" spans="6:7" ht="14.25" customHeight="1" x14ac:dyDescent="0.35">
      <c r="F832" s="2"/>
      <c r="G832" s="3"/>
    </row>
    <row r="833" spans="6:7" ht="14.25" customHeight="1" x14ac:dyDescent="0.35">
      <c r="F833" s="2"/>
      <c r="G833" s="3"/>
    </row>
    <row r="834" spans="6:7" ht="14.25" customHeight="1" x14ac:dyDescent="0.35">
      <c r="F834" s="2"/>
      <c r="G834" s="3"/>
    </row>
    <row r="835" spans="6:7" ht="14.25" customHeight="1" x14ac:dyDescent="0.35">
      <c r="F835" s="2"/>
      <c r="G835" s="3"/>
    </row>
    <row r="836" spans="6:7" ht="14.25" customHeight="1" x14ac:dyDescent="0.35">
      <c r="F836" s="2"/>
      <c r="G836" s="3"/>
    </row>
    <row r="837" spans="6:7" ht="14.25" customHeight="1" x14ac:dyDescent="0.35">
      <c r="F837" s="2"/>
      <c r="G837" s="3"/>
    </row>
    <row r="838" spans="6:7" ht="14.25" customHeight="1" x14ac:dyDescent="0.35">
      <c r="F838" s="2"/>
      <c r="G838" s="3"/>
    </row>
    <row r="839" spans="6:7" ht="14.25" customHeight="1" x14ac:dyDescent="0.35">
      <c r="F839" s="2"/>
      <c r="G839" s="3"/>
    </row>
    <row r="840" spans="6:7" ht="14.25" customHeight="1" x14ac:dyDescent="0.35">
      <c r="F840" s="2"/>
      <c r="G840" s="3"/>
    </row>
    <row r="841" spans="6:7" ht="14.25" customHeight="1" x14ac:dyDescent="0.35">
      <c r="F841" s="2"/>
      <c r="G841" s="3"/>
    </row>
    <row r="842" spans="6:7" ht="14.25" customHeight="1" x14ac:dyDescent="0.35">
      <c r="F842" s="2"/>
      <c r="G842" s="3"/>
    </row>
    <row r="843" spans="6:7" ht="14.25" customHeight="1" x14ac:dyDescent="0.35">
      <c r="F843" s="2"/>
      <c r="G843" s="3"/>
    </row>
    <row r="844" spans="6:7" ht="14.25" customHeight="1" x14ac:dyDescent="0.35">
      <c r="F844" s="2"/>
      <c r="G844" s="3"/>
    </row>
    <row r="845" spans="6:7" ht="14.25" customHeight="1" x14ac:dyDescent="0.35">
      <c r="F845" s="2"/>
      <c r="G845" s="3"/>
    </row>
    <row r="846" spans="6:7" ht="14.25" customHeight="1" x14ac:dyDescent="0.35">
      <c r="F846" s="2"/>
      <c r="G846" s="3"/>
    </row>
    <row r="847" spans="6:7" ht="14.25" customHeight="1" x14ac:dyDescent="0.35">
      <c r="F847" s="2"/>
      <c r="G847" s="3"/>
    </row>
    <row r="848" spans="6:7" ht="14.25" customHeight="1" x14ac:dyDescent="0.35">
      <c r="F848" s="2"/>
      <c r="G848" s="3"/>
    </row>
    <row r="849" spans="6:7" ht="14.25" customHeight="1" x14ac:dyDescent="0.35">
      <c r="F849" s="2"/>
      <c r="G849" s="3"/>
    </row>
    <row r="850" spans="6:7" ht="14.25" customHeight="1" x14ac:dyDescent="0.35">
      <c r="F850" s="2"/>
      <c r="G850" s="3"/>
    </row>
    <row r="851" spans="6:7" ht="14.25" customHeight="1" x14ac:dyDescent="0.35">
      <c r="F851" s="2"/>
      <c r="G851" s="3"/>
    </row>
    <row r="852" spans="6:7" ht="14.25" customHeight="1" x14ac:dyDescent="0.35">
      <c r="F852" s="2"/>
      <c r="G852" s="3"/>
    </row>
    <row r="853" spans="6:7" ht="14.25" customHeight="1" x14ac:dyDescent="0.35">
      <c r="F853" s="2"/>
      <c r="G853" s="3"/>
    </row>
    <row r="854" spans="6:7" ht="14.25" customHeight="1" x14ac:dyDescent="0.35">
      <c r="F854" s="2"/>
      <c r="G854" s="3"/>
    </row>
    <row r="855" spans="6:7" ht="14.25" customHeight="1" x14ac:dyDescent="0.35">
      <c r="F855" s="2"/>
      <c r="G855" s="3"/>
    </row>
    <row r="856" spans="6:7" ht="14.25" customHeight="1" x14ac:dyDescent="0.35">
      <c r="F856" s="2"/>
      <c r="G856" s="3"/>
    </row>
    <row r="857" spans="6:7" ht="14.25" customHeight="1" x14ac:dyDescent="0.35">
      <c r="F857" s="2"/>
      <c r="G857" s="3"/>
    </row>
    <row r="858" spans="6:7" ht="14.25" customHeight="1" x14ac:dyDescent="0.35">
      <c r="F858" s="2"/>
      <c r="G858" s="3"/>
    </row>
    <row r="859" spans="6:7" ht="14.25" customHeight="1" x14ac:dyDescent="0.35">
      <c r="F859" s="2"/>
      <c r="G859" s="3"/>
    </row>
    <row r="860" spans="6:7" ht="14.25" customHeight="1" x14ac:dyDescent="0.35">
      <c r="F860" s="2"/>
      <c r="G860" s="3"/>
    </row>
    <row r="861" spans="6:7" ht="14.25" customHeight="1" x14ac:dyDescent="0.35">
      <c r="F861" s="2"/>
      <c r="G861" s="3"/>
    </row>
    <row r="862" spans="6:7" ht="14.25" customHeight="1" x14ac:dyDescent="0.35">
      <c r="F862" s="2"/>
      <c r="G862" s="3"/>
    </row>
    <row r="863" spans="6:7" ht="14.25" customHeight="1" x14ac:dyDescent="0.35">
      <c r="F863" s="2"/>
      <c r="G863" s="3"/>
    </row>
    <row r="864" spans="6:7" ht="14.25" customHeight="1" x14ac:dyDescent="0.35">
      <c r="F864" s="2"/>
      <c r="G864" s="3"/>
    </row>
    <row r="865" spans="6:7" ht="14.25" customHeight="1" x14ac:dyDescent="0.35">
      <c r="F865" s="2"/>
      <c r="G865" s="3"/>
    </row>
    <row r="866" spans="6:7" ht="14.25" customHeight="1" x14ac:dyDescent="0.35">
      <c r="F866" s="2"/>
      <c r="G866" s="3"/>
    </row>
    <row r="867" spans="6:7" ht="14.25" customHeight="1" x14ac:dyDescent="0.35">
      <c r="F867" s="2"/>
      <c r="G867" s="3"/>
    </row>
    <row r="868" spans="6:7" ht="14.25" customHeight="1" x14ac:dyDescent="0.35">
      <c r="F868" s="2"/>
      <c r="G868" s="3"/>
    </row>
    <row r="869" spans="6:7" ht="14.25" customHeight="1" x14ac:dyDescent="0.35">
      <c r="F869" s="2"/>
      <c r="G869" s="3"/>
    </row>
    <row r="870" spans="6:7" ht="14.25" customHeight="1" x14ac:dyDescent="0.35">
      <c r="F870" s="2"/>
      <c r="G870" s="3"/>
    </row>
    <row r="871" spans="6:7" ht="14.25" customHeight="1" x14ac:dyDescent="0.35">
      <c r="F871" s="2"/>
      <c r="G871" s="3"/>
    </row>
    <row r="872" spans="6:7" ht="14.25" customHeight="1" x14ac:dyDescent="0.35">
      <c r="F872" s="2"/>
      <c r="G872" s="3"/>
    </row>
    <row r="873" spans="6:7" ht="14.25" customHeight="1" x14ac:dyDescent="0.35">
      <c r="F873" s="2"/>
      <c r="G873" s="3"/>
    </row>
    <row r="874" spans="6:7" ht="14.25" customHeight="1" x14ac:dyDescent="0.35">
      <c r="F874" s="2"/>
      <c r="G874" s="3"/>
    </row>
    <row r="875" spans="6:7" ht="14.25" customHeight="1" x14ac:dyDescent="0.35">
      <c r="F875" s="2"/>
      <c r="G875" s="3"/>
    </row>
    <row r="876" spans="6:7" ht="14.25" customHeight="1" x14ac:dyDescent="0.35">
      <c r="F876" s="2"/>
      <c r="G876" s="3"/>
    </row>
    <row r="877" spans="6:7" ht="14.25" customHeight="1" x14ac:dyDescent="0.35">
      <c r="F877" s="2"/>
      <c r="G877" s="3"/>
    </row>
    <row r="878" spans="6:7" ht="14.25" customHeight="1" x14ac:dyDescent="0.35">
      <c r="F878" s="2"/>
      <c r="G878" s="3"/>
    </row>
    <row r="879" spans="6:7" ht="14.25" customHeight="1" x14ac:dyDescent="0.35">
      <c r="F879" s="2"/>
      <c r="G879" s="3"/>
    </row>
    <row r="880" spans="6:7" ht="14.25" customHeight="1" x14ac:dyDescent="0.35">
      <c r="F880" s="2"/>
      <c r="G880" s="3"/>
    </row>
    <row r="881" spans="6:7" ht="14.25" customHeight="1" x14ac:dyDescent="0.35">
      <c r="F881" s="2"/>
      <c r="G881" s="3"/>
    </row>
    <row r="882" spans="6:7" ht="14.25" customHeight="1" x14ac:dyDescent="0.35">
      <c r="F882" s="2"/>
      <c r="G882" s="3"/>
    </row>
    <row r="883" spans="6:7" ht="14.25" customHeight="1" x14ac:dyDescent="0.35">
      <c r="F883" s="2"/>
      <c r="G883" s="3"/>
    </row>
    <row r="884" spans="6:7" ht="14.25" customHeight="1" x14ac:dyDescent="0.35">
      <c r="F884" s="2"/>
      <c r="G884" s="3"/>
    </row>
    <row r="885" spans="6:7" ht="14.25" customHeight="1" x14ac:dyDescent="0.35">
      <c r="F885" s="2"/>
      <c r="G885" s="3"/>
    </row>
    <row r="886" spans="6:7" ht="14.25" customHeight="1" x14ac:dyDescent="0.35">
      <c r="F886" s="2"/>
      <c r="G886" s="3"/>
    </row>
    <row r="887" spans="6:7" ht="14.25" customHeight="1" x14ac:dyDescent="0.35">
      <c r="F887" s="2"/>
      <c r="G887" s="3"/>
    </row>
    <row r="888" spans="6:7" ht="14.25" customHeight="1" x14ac:dyDescent="0.35">
      <c r="F888" s="2"/>
      <c r="G888" s="3"/>
    </row>
    <row r="889" spans="6:7" ht="14.25" customHeight="1" x14ac:dyDescent="0.35">
      <c r="F889" s="2"/>
      <c r="G889" s="3"/>
    </row>
    <row r="890" spans="6:7" ht="14.25" customHeight="1" x14ac:dyDescent="0.35">
      <c r="F890" s="2"/>
      <c r="G890" s="3"/>
    </row>
    <row r="891" spans="6:7" ht="14.25" customHeight="1" x14ac:dyDescent="0.35">
      <c r="F891" s="2"/>
      <c r="G891" s="3"/>
    </row>
    <row r="892" spans="6:7" ht="14.25" customHeight="1" x14ac:dyDescent="0.35">
      <c r="F892" s="2"/>
      <c r="G892" s="3"/>
    </row>
    <row r="893" spans="6:7" ht="14.25" customHeight="1" x14ac:dyDescent="0.35">
      <c r="F893" s="2"/>
      <c r="G893" s="3"/>
    </row>
    <row r="894" spans="6:7" ht="14.25" customHeight="1" x14ac:dyDescent="0.35">
      <c r="F894" s="2"/>
      <c r="G894" s="3"/>
    </row>
    <row r="895" spans="6:7" ht="14.25" customHeight="1" x14ac:dyDescent="0.35">
      <c r="F895" s="2"/>
      <c r="G895" s="3"/>
    </row>
    <row r="896" spans="6:7" ht="14.25" customHeight="1" x14ac:dyDescent="0.35">
      <c r="F896" s="2"/>
      <c r="G896" s="3"/>
    </row>
    <row r="897" spans="6:7" ht="14.25" customHeight="1" x14ac:dyDescent="0.35">
      <c r="F897" s="2"/>
      <c r="G897" s="3"/>
    </row>
    <row r="898" spans="6:7" ht="14.25" customHeight="1" x14ac:dyDescent="0.35">
      <c r="F898" s="2"/>
      <c r="G898" s="3"/>
    </row>
    <row r="899" spans="6:7" ht="14.25" customHeight="1" x14ac:dyDescent="0.35">
      <c r="F899" s="2"/>
      <c r="G899" s="3"/>
    </row>
    <row r="900" spans="6:7" ht="14.25" customHeight="1" x14ac:dyDescent="0.35">
      <c r="F900" s="2"/>
      <c r="G900" s="3"/>
    </row>
    <row r="901" spans="6:7" ht="14.25" customHeight="1" x14ac:dyDescent="0.35">
      <c r="F901" s="2"/>
      <c r="G901" s="3"/>
    </row>
    <row r="902" spans="6:7" ht="14.25" customHeight="1" x14ac:dyDescent="0.35">
      <c r="F902" s="2"/>
      <c r="G902" s="3"/>
    </row>
    <row r="903" spans="6:7" ht="14.25" customHeight="1" x14ac:dyDescent="0.35">
      <c r="F903" s="2"/>
      <c r="G903" s="3"/>
    </row>
    <row r="904" spans="6:7" ht="14.25" customHeight="1" x14ac:dyDescent="0.35">
      <c r="F904" s="2"/>
      <c r="G904" s="3"/>
    </row>
    <row r="905" spans="6:7" ht="14.25" customHeight="1" x14ac:dyDescent="0.35">
      <c r="F905" s="2"/>
      <c r="G905" s="3"/>
    </row>
    <row r="906" spans="6:7" ht="14.25" customHeight="1" x14ac:dyDescent="0.35">
      <c r="F906" s="2"/>
      <c r="G906" s="3"/>
    </row>
    <row r="907" spans="6:7" ht="14.25" customHeight="1" x14ac:dyDescent="0.35">
      <c r="F907" s="2"/>
      <c r="G907" s="3"/>
    </row>
    <row r="908" spans="6:7" ht="14.25" customHeight="1" x14ac:dyDescent="0.35">
      <c r="F908" s="2"/>
      <c r="G908" s="3"/>
    </row>
    <row r="909" spans="6:7" ht="14.25" customHeight="1" x14ac:dyDescent="0.35">
      <c r="F909" s="2"/>
      <c r="G909" s="3"/>
    </row>
    <row r="910" spans="6:7" ht="14.25" customHeight="1" x14ac:dyDescent="0.35">
      <c r="F910" s="2"/>
      <c r="G910" s="3"/>
    </row>
    <row r="911" spans="6:7" ht="14.25" customHeight="1" x14ac:dyDescent="0.35">
      <c r="F911" s="2"/>
      <c r="G911" s="3"/>
    </row>
    <row r="912" spans="6:7" ht="14.25" customHeight="1" x14ac:dyDescent="0.35">
      <c r="F912" s="2"/>
      <c r="G912" s="3"/>
    </row>
    <row r="913" spans="6:7" ht="14.25" customHeight="1" x14ac:dyDescent="0.35">
      <c r="F913" s="2"/>
      <c r="G913" s="3"/>
    </row>
    <row r="914" spans="6:7" ht="14.25" customHeight="1" x14ac:dyDescent="0.35">
      <c r="F914" s="2"/>
      <c r="G914" s="3"/>
    </row>
    <row r="915" spans="6:7" ht="14.25" customHeight="1" x14ac:dyDescent="0.35">
      <c r="F915" s="2"/>
      <c r="G915" s="3"/>
    </row>
    <row r="916" spans="6:7" ht="14.25" customHeight="1" x14ac:dyDescent="0.35">
      <c r="F916" s="2"/>
      <c r="G916" s="3"/>
    </row>
    <row r="917" spans="6:7" ht="14.25" customHeight="1" x14ac:dyDescent="0.35">
      <c r="F917" s="2"/>
      <c r="G917" s="3"/>
    </row>
    <row r="918" spans="6:7" ht="14.25" customHeight="1" x14ac:dyDescent="0.35">
      <c r="F918" s="2"/>
      <c r="G918" s="3"/>
    </row>
    <row r="919" spans="6:7" ht="14.25" customHeight="1" x14ac:dyDescent="0.35">
      <c r="F919" s="2"/>
      <c r="G919" s="3"/>
    </row>
    <row r="920" spans="6:7" ht="14.25" customHeight="1" x14ac:dyDescent="0.35">
      <c r="F920" s="2"/>
      <c r="G920" s="3"/>
    </row>
    <row r="921" spans="6:7" ht="14.25" customHeight="1" x14ac:dyDescent="0.35">
      <c r="F921" s="2"/>
      <c r="G921" s="3"/>
    </row>
    <row r="922" spans="6:7" ht="14.25" customHeight="1" x14ac:dyDescent="0.35">
      <c r="F922" s="2"/>
      <c r="G922" s="3"/>
    </row>
    <row r="923" spans="6:7" ht="14.25" customHeight="1" x14ac:dyDescent="0.35">
      <c r="F923" s="2"/>
      <c r="G923" s="3"/>
    </row>
    <row r="924" spans="6:7" ht="14.25" customHeight="1" x14ac:dyDescent="0.35">
      <c r="F924" s="2"/>
      <c r="G924" s="3"/>
    </row>
    <row r="925" spans="6:7" ht="14.25" customHeight="1" x14ac:dyDescent="0.35">
      <c r="F925" s="2"/>
      <c r="G925" s="3"/>
    </row>
    <row r="926" spans="6:7" ht="14.25" customHeight="1" x14ac:dyDescent="0.35">
      <c r="F926" s="2"/>
      <c r="G926" s="3"/>
    </row>
    <row r="927" spans="6:7" ht="14.25" customHeight="1" x14ac:dyDescent="0.35">
      <c r="F927" s="2"/>
      <c r="G927" s="3"/>
    </row>
    <row r="928" spans="6:7" ht="14.25" customHeight="1" x14ac:dyDescent="0.35">
      <c r="F928" s="2"/>
      <c r="G928" s="3"/>
    </row>
    <row r="929" spans="6:7" ht="14.25" customHeight="1" x14ac:dyDescent="0.35">
      <c r="F929" s="2"/>
      <c r="G929" s="3"/>
    </row>
    <row r="930" spans="6:7" ht="14.25" customHeight="1" x14ac:dyDescent="0.35">
      <c r="F930" s="2"/>
      <c r="G930" s="3"/>
    </row>
    <row r="931" spans="6:7" ht="14.25" customHeight="1" x14ac:dyDescent="0.35">
      <c r="F931" s="2"/>
      <c r="G931" s="3"/>
    </row>
    <row r="932" spans="6:7" ht="14.25" customHeight="1" x14ac:dyDescent="0.35">
      <c r="F932" s="2"/>
      <c r="G932" s="3"/>
    </row>
    <row r="933" spans="6:7" ht="14.25" customHeight="1" x14ac:dyDescent="0.35">
      <c r="F933" s="2"/>
      <c r="G933" s="3"/>
    </row>
    <row r="934" spans="6:7" ht="14.25" customHeight="1" x14ac:dyDescent="0.35">
      <c r="F934" s="2"/>
      <c r="G934" s="3"/>
    </row>
    <row r="935" spans="6:7" ht="14.25" customHeight="1" x14ac:dyDescent="0.35">
      <c r="F935" s="2"/>
      <c r="G935" s="3"/>
    </row>
    <row r="936" spans="6:7" ht="14.25" customHeight="1" x14ac:dyDescent="0.35">
      <c r="F936" s="2"/>
      <c r="G936" s="3"/>
    </row>
    <row r="937" spans="6:7" ht="14.25" customHeight="1" x14ac:dyDescent="0.35">
      <c r="F937" s="2"/>
      <c r="G937" s="3"/>
    </row>
    <row r="938" spans="6:7" ht="14.25" customHeight="1" x14ac:dyDescent="0.35">
      <c r="F938" s="2"/>
      <c r="G938" s="3"/>
    </row>
    <row r="939" spans="6:7" ht="14.25" customHeight="1" x14ac:dyDescent="0.35">
      <c r="F939" s="2"/>
      <c r="G939" s="3"/>
    </row>
    <row r="940" spans="6:7" ht="14.25" customHeight="1" x14ac:dyDescent="0.35">
      <c r="F940" s="2"/>
      <c r="G940" s="3"/>
    </row>
    <row r="941" spans="6:7" ht="14.25" customHeight="1" x14ac:dyDescent="0.35">
      <c r="F941" s="2"/>
      <c r="G941" s="3"/>
    </row>
    <row r="942" spans="6:7" ht="14.25" customHeight="1" x14ac:dyDescent="0.35">
      <c r="F942" s="2"/>
      <c r="G942" s="3"/>
    </row>
    <row r="943" spans="6:7" ht="14.25" customHeight="1" x14ac:dyDescent="0.35">
      <c r="F943" s="2"/>
      <c r="G943" s="3"/>
    </row>
    <row r="944" spans="6:7" ht="14.25" customHeight="1" x14ac:dyDescent="0.35">
      <c r="F944" s="2"/>
      <c r="G944" s="3"/>
    </row>
    <row r="945" spans="6:7" ht="14.25" customHeight="1" x14ac:dyDescent="0.35">
      <c r="F945" s="2"/>
      <c r="G945" s="3"/>
    </row>
    <row r="946" spans="6:7" ht="14.25" customHeight="1" x14ac:dyDescent="0.35">
      <c r="F946" s="2"/>
      <c r="G946" s="3"/>
    </row>
    <row r="947" spans="6:7" ht="14.25" customHeight="1" x14ac:dyDescent="0.35">
      <c r="F947" s="2"/>
      <c r="G947" s="3"/>
    </row>
    <row r="948" spans="6:7" ht="14.25" customHeight="1" x14ac:dyDescent="0.35">
      <c r="F948" s="2"/>
      <c r="G948" s="3"/>
    </row>
    <row r="949" spans="6:7" ht="14.25" customHeight="1" x14ac:dyDescent="0.35">
      <c r="F949" s="2"/>
      <c r="G949" s="3"/>
    </row>
    <row r="950" spans="6:7" ht="14.25" customHeight="1" x14ac:dyDescent="0.35">
      <c r="F950" s="2"/>
      <c r="G950" s="3"/>
    </row>
    <row r="951" spans="6:7" ht="14.25" customHeight="1" x14ac:dyDescent="0.35">
      <c r="F951" s="2"/>
      <c r="G951" s="3"/>
    </row>
    <row r="952" spans="6:7" ht="14.25" customHeight="1" x14ac:dyDescent="0.35">
      <c r="F952" s="2"/>
      <c r="G952" s="3"/>
    </row>
    <row r="953" spans="6:7" ht="14.25" customHeight="1" x14ac:dyDescent="0.35">
      <c r="F953" s="2"/>
      <c r="G953" s="3"/>
    </row>
  </sheetData>
  <mergeCells count="33">
    <mergeCell ref="E50:F50"/>
    <mergeCell ref="E37:F37"/>
    <mergeCell ref="E38:F38"/>
    <mergeCell ref="E39:F39"/>
    <mergeCell ref="E40:F40"/>
    <mergeCell ref="E41:F41"/>
    <mergeCell ref="E42:F42"/>
    <mergeCell ref="E43:F43"/>
    <mergeCell ref="E44:F44"/>
    <mergeCell ref="E45:F45"/>
    <mergeCell ref="E46:F46"/>
    <mergeCell ref="E47:F47"/>
    <mergeCell ref="E48:F48"/>
    <mergeCell ref="B50:D50"/>
    <mergeCell ref="B46:D46"/>
    <mergeCell ref="B47:D47"/>
    <mergeCell ref="B48:D48"/>
    <mergeCell ref="B43:D43"/>
    <mergeCell ref="B44:D44"/>
    <mergeCell ref="B45:D45"/>
    <mergeCell ref="B40:D40"/>
    <mergeCell ref="B41:D41"/>
    <mergeCell ref="B42:D42"/>
    <mergeCell ref="B37:D37"/>
    <mergeCell ref="B38:D38"/>
    <mergeCell ref="B39:D39"/>
    <mergeCell ref="B23:C23"/>
    <mergeCell ref="B17:D17"/>
    <mergeCell ref="B18:C18"/>
    <mergeCell ref="B19:C19"/>
    <mergeCell ref="B20:C20"/>
    <mergeCell ref="B21:C21"/>
    <mergeCell ref="B22:C22"/>
  </mergeCells>
  <conditionalFormatting sqref="E49">
    <cfRule type="expression" dxfId="1" priority="1">
      <formula>#REF!="Method - % of CapEx"</formula>
    </cfRule>
    <cfRule type="expression" dxfId="0" priority="2">
      <formula>#REF!="Method - $ per Key"</formula>
    </cfRule>
  </conditionalFormatting>
  <pageMargins left="0.25" right="0.25" top="0.25" bottom="0.25" header="0.25" footer="0.25"/>
  <pageSetup paperSize="5" scale="59" orientation="landscape" r:id="rId1"/>
  <headerFooter>
    <oddFooter>&amp;C&amp;"-,Bold" Confidential&amp;RPage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79998168889431442"/>
    <pageSetUpPr fitToPage="1"/>
  </sheetPr>
  <dimension ref="A1:AB1027"/>
  <sheetViews>
    <sheetView showGridLines="0" zoomScale="85" zoomScaleNormal="85" workbookViewId="0"/>
  </sheetViews>
  <sheetFormatPr defaultColWidth="12.58203125" defaultRowHeight="15" customHeight="1" x14ac:dyDescent="0.35"/>
  <cols>
    <col min="1" max="1" width="1.58203125" style="1" customWidth="1"/>
    <col min="2" max="2" width="5.25" style="1" customWidth="1"/>
    <col min="3" max="3" width="38.33203125" style="1" customWidth="1"/>
    <col min="4" max="4" width="37.58203125" style="1" customWidth="1"/>
    <col min="5" max="5" width="11" style="1" customWidth="1"/>
    <col min="6" max="6" width="10.08203125" style="1" customWidth="1"/>
    <col min="7" max="7" width="14.33203125" style="1" customWidth="1"/>
    <col min="8" max="8" width="14.08203125" style="1" customWidth="1"/>
    <col min="9" max="25" width="15.33203125" style="1" customWidth="1"/>
    <col min="26" max="26" width="8" style="1" customWidth="1"/>
    <col min="27" max="16384" width="12.58203125" style="1"/>
  </cols>
  <sheetData>
    <row r="1" spans="2:28" ht="14.25" customHeight="1" thickBot="1" x14ac:dyDescent="0.4">
      <c r="F1" s="2"/>
      <c r="G1" s="3"/>
    </row>
    <row r="2" spans="2:28" ht="16" thickBot="1" x14ac:dyDescent="0.4">
      <c r="B2" s="177" t="s">
        <v>0</v>
      </c>
      <c r="C2" s="178"/>
      <c r="D2" s="178"/>
      <c r="E2" s="179"/>
      <c r="F2" s="2"/>
      <c r="G2" s="3"/>
      <c r="H2" s="3"/>
      <c r="I2" s="3"/>
      <c r="J2" s="3"/>
      <c r="K2" s="3"/>
      <c r="L2" s="3"/>
      <c r="M2" s="3"/>
      <c r="N2" s="3"/>
      <c r="O2" s="3"/>
      <c r="P2" s="3"/>
      <c r="Q2" s="3"/>
      <c r="R2" s="3"/>
    </row>
    <row r="3" spans="2:28" ht="21.75" customHeight="1" x14ac:dyDescent="0.35">
      <c r="B3" s="180" t="s">
        <v>121</v>
      </c>
      <c r="C3" s="181"/>
      <c r="D3" s="181"/>
      <c r="E3" s="182"/>
      <c r="F3" s="2"/>
      <c r="G3" s="3"/>
      <c r="H3" s="3"/>
      <c r="I3" s="3"/>
      <c r="J3" s="3"/>
      <c r="K3" s="3"/>
      <c r="L3" s="3"/>
      <c r="M3" s="3"/>
      <c r="N3" s="3"/>
      <c r="O3" s="3"/>
      <c r="P3" s="3"/>
      <c r="Q3" s="3"/>
      <c r="R3" s="3"/>
    </row>
    <row r="4" spans="2:28" ht="19.5" customHeight="1" x14ac:dyDescent="0.35">
      <c r="B4" s="183"/>
      <c r="C4" s="184"/>
      <c r="D4" s="184"/>
      <c r="E4" s="185"/>
      <c r="F4" s="2"/>
      <c r="G4" s="3"/>
      <c r="H4" s="3"/>
      <c r="I4" s="3"/>
      <c r="J4" s="3"/>
      <c r="K4" s="3"/>
      <c r="L4" s="3"/>
      <c r="M4" s="3"/>
      <c r="N4" s="3"/>
      <c r="O4" s="3"/>
      <c r="P4" s="3"/>
      <c r="Q4" s="3"/>
      <c r="R4" s="3"/>
    </row>
    <row r="5" spans="2:28" ht="22.5" customHeight="1" x14ac:dyDescent="0.35">
      <c r="B5" s="183"/>
      <c r="C5" s="184"/>
      <c r="D5" s="184"/>
      <c r="E5" s="185"/>
      <c r="F5" s="2"/>
      <c r="G5" s="3"/>
      <c r="H5" s="3"/>
      <c r="I5" s="3"/>
      <c r="J5" s="3"/>
      <c r="K5" s="3"/>
      <c r="L5" s="3"/>
      <c r="M5" s="3"/>
      <c r="N5" s="3"/>
      <c r="O5" s="3"/>
      <c r="P5" s="3"/>
      <c r="Q5" s="3"/>
      <c r="R5" s="3"/>
    </row>
    <row r="6" spans="2:28" ht="14.25" customHeight="1" x14ac:dyDescent="0.35">
      <c r="B6" s="183"/>
      <c r="C6" s="184"/>
      <c r="D6" s="184"/>
      <c r="E6" s="185"/>
      <c r="F6" s="2"/>
      <c r="G6" s="3"/>
      <c r="H6" s="3"/>
      <c r="I6" s="3"/>
      <c r="J6" s="3"/>
      <c r="K6" s="3"/>
      <c r="L6" s="3"/>
      <c r="M6" s="3"/>
      <c r="N6" s="3"/>
      <c r="O6" s="3"/>
      <c r="P6" s="3"/>
      <c r="Q6" s="3"/>
      <c r="R6" s="3"/>
    </row>
    <row r="7" spans="2:28" ht="14.25" customHeight="1" x14ac:dyDescent="0.35">
      <c r="B7" s="183"/>
      <c r="C7" s="184"/>
      <c r="D7" s="184"/>
      <c r="E7" s="185"/>
      <c r="F7" s="2"/>
      <c r="G7" s="3"/>
      <c r="H7" s="3"/>
      <c r="I7" s="3"/>
      <c r="J7" s="3"/>
      <c r="K7" s="3"/>
      <c r="L7" s="3"/>
      <c r="M7" s="3"/>
      <c r="N7" s="3"/>
      <c r="O7" s="3"/>
      <c r="P7" s="3"/>
      <c r="Q7" s="3"/>
      <c r="R7" s="3"/>
    </row>
    <row r="8" spans="2:28" ht="14.25" customHeight="1" x14ac:dyDescent="0.35">
      <c r="B8" s="183"/>
      <c r="C8" s="184"/>
      <c r="D8" s="184"/>
      <c r="E8" s="185"/>
      <c r="F8" s="2"/>
      <c r="G8" s="3"/>
      <c r="H8" s="3"/>
      <c r="I8" s="3"/>
      <c r="J8" s="3"/>
      <c r="K8" s="3"/>
      <c r="L8" s="3"/>
      <c r="M8" s="3"/>
      <c r="N8" s="3"/>
      <c r="O8" s="3"/>
      <c r="P8" s="3"/>
      <c r="Q8" s="3"/>
      <c r="R8" s="3"/>
    </row>
    <row r="9" spans="2:28" ht="14.25" customHeight="1" x14ac:dyDescent="0.35">
      <c r="B9" s="183"/>
      <c r="C9" s="184"/>
      <c r="D9" s="184"/>
      <c r="E9" s="185"/>
      <c r="F9" s="2"/>
      <c r="G9" s="3"/>
    </row>
    <row r="10" spans="2:28" ht="14.25" customHeight="1" x14ac:dyDescent="0.35">
      <c r="B10" s="183"/>
      <c r="C10" s="184"/>
      <c r="D10" s="184"/>
      <c r="E10" s="185"/>
      <c r="F10" s="2"/>
      <c r="G10" s="3"/>
    </row>
    <row r="11" spans="2:28" ht="14.25" customHeight="1" x14ac:dyDescent="0.35">
      <c r="B11" s="183"/>
      <c r="C11" s="184"/>
      <c r="D11" s="184"/>
      <c r="E11" s="185"/>
      <c r="F11" s="2"/>
      <c r="G11" s="3"/>
    </row>
    <row r="12" spans="2:28" ht="14.25" customHeight="1" x14ac:dyDescent="0.35">
      <c r="B12" s="183"/>
      <c r="C12" s="184"/>
      <c r="D12" s="184"/>
      <c r="E12" s="185"/>
      <c r="F12" s="2"/>
      <c r="G12" s="3"/>
    </row>
    <row r="13" spans="2:28" ht="14.25" customHeight="1" x14ac:dyDescent="0.35">
      <c r="B13" s="183"/>
      <c r="C13" s="184"/>
      <c r="D13" s="184"/>
      <c r="E13" s="185"/>
      <c r="F13" s="2"/>
      <c r="G13" s="3"/>
    </row>
    <row r="14" spans="2:28" ht="14.25" customHeight="1" x14ac:dyDescent="0.35">
      <c r="B14" s="183"/>
      <c r="C14" s="184"/>
      <c r="D14" s="184"/>
      <c r="E14" s="185"/>
      <c r="F14" s="2"/>
      <c r="G14" s="3"/>
    </row>
    <row r="15" spans="2:28" ht="14.25" customHeight="1" thickBot="1" x14ac:dyDescent="0.4">
      <c r="B15" s="186"/>
      <c r="C15" s="187"/>
      <c r="D15" s="187"/>
      <c r="E15" s="188"/>
      <c r="F15" s="2"/>
      <c r="G15" s="3"/>
    </row>
    <row r="16" spans="2:28" ht="18.75" customHeight="1" thickBot="1" x14ac:dyDescent="0.4">
      <c r="E16" s="3"/>
      <c r="F16" s="3"/>
      <c r="G16" s="3"/>
      <c r="H16" s="3"/>
      <c r="I16" s="3"/>
      <c r="J16" s="3"/>
      <c r="K16" s="3"/>
      <c r="L16" s="3"/>
      <c r="M16" s="3"/>
      <c r="N16" s="3"/>
      <c r="O16" s="3"/>
      <c r="P16" s="3"/>
      <c r="Q16" s="3"/>
      <c r="R16" s="3"/>
      <c r="S16" s="3"/>
      <c r="T16" s="3"/>
      <c r="U16" s="3"/>
      <c r="V16" s="3"/>
      <c r="W16" s="3"/>
      <c r="X16" s="3"/>
      <c r="Y16" s="3"/>
      <c r="Z16" s="3"/>
      <c r="AA16" s="3"/>
      <c r="AB16" s="3"/>
    </row>
    <row r="17" spans="1:28" ht="15.5" x14ac:dyDescent="0.35">
      <c r="B17" s="130" t="s">
        <v>1</v>
      </c>
      <c r="C17" s="131"/>
      <c r="D17" s="132"/>
      <c r="E17" s="3"/>
      <c r="F17" s="3"/>
      <c r="G17" s="3"/>
      <c r="H17" s="3"/>
      <c r="I17" s="3"/>
      <c r="J17" s="3"/>
      <c r="K17" s="3"/>
      <c r="L17" s="3"/>
      <c r="M17" s="3"/>
      <c r="N17" s="3"/>
      <c r="O17" s="3"/>
      <c r="P17" s="3"/>
      <c r="Q17" s="3"/>
      <c r="R17" s="3"/>
      <c r="S17" s="3"/>
      <c r="T17" s="3"/>
      <c r="U17" s="3"/>
      <c r="V17" s="3"/>
      <c r="W17" s="3"/>
      <c r="X17" s="3"/>
      <c r="Y17" s="3"/>
      <c r="Z17" s="3"/>
      <c r="AA17" s="3"/>
      <c r="AB17" s="3"/>
    </row>
    <row r="18" spans="1:28" ht="24" customHeight="1" x14ac:dyDescent="0.35">
      <c r="B18" s="133" t="s">
        <v>2</v>
      </c>
      <c r="C18" s="134"/>
      <c r="D18" s="121" t="s">
        <v>106</v>
      </c>
      <c r="E18" s="3"/>
      <c r="F18" s="3"/>
      <c r="G18" s="3"/>
      <c r="H18" s="3"/>
      <c r="I18" s="3"/>
      <c r="J18" s="3"/>
      <c r="K18" s="3"/>
      <c r="L18" s="3"/>
      <c r="M18" s="3"/>
      <c r="N18" s="3"/>
      <c r="O18" s="3"/>
      <c r="P18" s="3"/>
      <c r="Q18" s="3"/>
      <c r="R18" s="3"/>
      <c r="S18" s="3"/>
      <c r="T18" s="3"/>
      <c r="U18" s="3"/>
      <c r="V18" s="3"/>
      <c r="W18" s="3"/>
      <c r="X18" s="3"/>
      <c r="Y18" s="3"/>
      <c r="Z18" s="3"/>
      <c r="AA18" s="3"/>
      <c r="AB18" s="3"/>
    </row>
    <row r="19" spans="1:28" ht="24" customHeight="1" x14ac:dyDescent="0.35">
      <c r="B19" s="133" t="s">
        <v>3</v>
      </c>
      <c r="C19" s="134"/>
      <c r="D19" s="122">
        <v>100</v>
      </c>
      <c r="E19" s="3"/>
      <c r="F19" s="3"/>
      <c r="G19" s="3"/>
      <c r="H19" s="3"/>
      <c r="I19" s="3"/>
      <c r="J19" s="3"/>
      <c r="K19" s="3"/>
      <c r="L19" s="3"/>
      <c r="M19" s="3"/>
      <c r="N19" s="3"/>
      <c r="O19" s="3"/>
      <c r="P19" s="3"/>
      <c r="Q19" s="3"/>
      <c r="R19" s="3"/>
      <c r="S19" s="3"/>
      <c r="T19" s="3"/>
      <c r="U19" s="3"/>
      <c r="V19" s="3"/>
      <c r="W19" s="3"/>
      <c r="X19" s="3"/>
      <c r="Y19" s="3"/>
      <c r="Z19" s="3"/>
      <c r="AA19" s="3"/>
      <c r="AB19" s="3"/>
    </row>
    <row r="20" spans="1:28" ht="24" customHeight="1" x14ac:dyDescent="0.35">
      <c r="B20" s="133" t="s">
        <v>4</v>
      </c>
      <c r="C20" s="134"/>
      <c r="D20" s="123">
        <v>7.2499999999999995E-2</v>
      </c>
      <c r="E20" s="3"/>
      <c r="F20" s="3"/>
      <c r="G20" s="3"/>
      <c r="H20" s="3"/>
      <c r="I20" s="3"/>
      <c r="J20" s="3"/>
      <c r="K20" s="3"/>
      <c r="L20" s="3"/>
      <c r="M20" s="3"/>
      <c r="N20" s="3"/>
      <c r="O20" s="3"/>
      <c r="P20" s="3"/>
      <c r="Q20" s="3"/>
      <c r="R20" s="3"/>
      <c r="S20" s="3"/>
      <c r="T20" s="3"/>
      <c r="U20" s="3"/>
      <c r="V20" s="3"/>
      <c r="W20" s="3"/>
      <c r="X20" s="3"/>
      <c r="Y20" s="3"/>
      <c r="Z20" s="3"/>
      <c r="AA20" s="3"/>
      <c r="AB20" s="3"/>
    </row>
    <row r="21" spans="1:28" ht="24" customHeight="1" x14ac:dyDescent="0.35">
      <c r="B21" s="133" t="s">
        <v>5</v>
      </c>
      <c r="C21" s="134"/>
      <c r="D21" s="121"/>
      <c r="E21" s="3"/>
      <c r="F21" s="3"/>
      <c r="G21" s="3"/>
      <c r="H21" s="3"/>
      <c r="I21" s="3"/>
      <c r="J21" s="3"/>
      <c r="K21" s="3"/>
      <c r="L21" s="3"/>
      <c r="M21" s="3"/>
      <c r="N21" s="3"/>
      <c r="O21" s="3"/>
      <c r="P21" s="3"/>
      <c r="Q21" s="3"/>
      <c r="R21" s="3"/>
      <c r="S21" s="3"/>
      <c r="T21" s="3"/>
      <c r="U21" s="3"/>
      <c r="V21" s="3"/>
      <c r="W21" s="3"/>
      <c r="X21" s="3"/>
      <c r="Y21" s="3"/>
      <c r="Z21" s="3"/>
      <c r="AA21" s="3"/>
      <c r="AB21" s="3"/>
    </row>
    <row r="22" spans="1:28" ht="24" customHeight="1" x14ac:dyDescent="0.35">
      <c r="B22" s="135" t="s">
        <v>6</v>
      </c>
      <c r="C22" s="134"/>
      <c r="D22" s="124"/>
      <c r="E22" s="3"/>
      <c r="F22" s="3"/>
      <c r="G22" s="3"/>
      <c r="H22" s="3"/>
      <c r="I22" s="3"/>
      <c r="J22" s="3"/>
      <c r="K22" s="3"/>
      <c r="L22" s="3"/>
      <c r="M22" s="3"/>
      <c r="N22" s="3"/>
      <c r="O22" s="3"/>
      <c r="P22" s="3"/>
      <c r="Q22" s="3"/>
      <c r="R22" s="3"/>
      <c r="S22" s="3"/>
      <c r="T22" s="3"/>
      <c r="U22" s="3"/>
      <c r="V22" s="3"/>
      <c r="W22" s="3"/>
      <c r="X22" s="3"/>
      <c r="Y22" s="3"/>
      <c r="Z22" s="3"/>
      <c r="AA22" s="3"/>
      <c r="AB22" s="3"/>
    </row>
    <row r="23" spans="1:28" ht="24" customHeight="1" thickBot="1" x14ac:dyDescent="0.4">
      <c r="B23" s="128" t="s">
        <v>7</v>
      </c>
      <c r="C23" s="129"/>
      <c r="D23" s="125">
        <v>2024</v>
      </c>
      <c r="E23" s="3"/>
      <c r="F23" s="3"/>
      <c r="G23" s="3"/>
      <c r="H23" s="3"/>
      <c r="I23" s="3"/>
      <c r="J23" s="3"/>
      <c r="K23" s="3"/>
      <c r="L23" s="3"/>
      <c r="M23" s="3"/>
      <c r="N23" s="3"/>
      <c r="O23" s="3"/>
      <c r="P23" s="3"/>
      <c r="Q23" s="3"/>
      <c r="R23" s="3"/>
      <c r="S23" s="3"/>
      <c r="T23" s="3"/>
      <c r="U23" s="3"/>
      <c r="V23" s="3"/>
      <c r="W23" s="3"/>
      <c r="X23" s="3"/>
      <c r="Y23" s="3"/>
      <c r="Z23" s="3"/>
      <c r="AA23" s="3"/>
      <c r="AB23" s="3"/>
    </row>
    <row r="24" spans="1:28" ht="14.25" customHeight="1" x14ac:dyDescent="0.35">
      <c r="E24" s="3"/>
      <c r="F24" s="3"/>
      <c r="G24" s="3"/>
      <c r="H24" s="3"/>
      <c r="I24" s="3"/>
      <c r="J24" s="3"/>
      <c r="K24" s="3"/>
      <c r="L24" s="3"/>
      <c r="M24" s="3"/>
      <c r="N24" s="3"/>
      <c r="O24" s="3"/>
      <c r="P24" s="3"/>
      <c r="Q24" s="3"/>
      <c r="R24" s="3"/>
      <c r="S24" s="3"/>
      <c r="T24" s="3"/>
      <c r="U24" s="3"/>
      <c r="V24" s="3"/>
      <c r="W24" s="3"/>
      <c r="X24" s="3"/>
      <c r="Y24" s="3"/>
      <c r="Z24" s="3"/>
      <c r="AA24" s="3"/>
      <c r="AB24" s="3"/>
    </row>
    <row r="25" spans="1:28" ht="24" customHeight="1" thickBot="1" x14ac:dyDescent="0.6">
      <c r="B25" s="4" t="s">
        <v>8</v>
      </c>
      <c r="C25" s="5"/>
      <c r="D25" s="5"/>
      <c r="E25" s="5"/>
      <c r="F25" s="5"/>
      <c r="G25" s="5"/>
      <c r="H25" s="5"/>
      <c r="I25" s="5"/>
      <c r="J25" s="5"/>
      <c r="K25" s="5"/>
      <c r="L25" s="5"/>
      <c r="M25" s="5"/>
      <c r="N25" s="5"/>
      <c r="O25" s="5"/>
      <c r="P25" s="5"/>
      <c r="Q25" s="5"/>
      <c r="R25" s="5"/>
      <c r="S25" s="5"/>
      <c r="T25" s="5"/>
      <c r="U25" s="5"/>
      <c r="V25" s="5"/>
      <c r="W25" s="5"/>
      <c r="X25" s="5"/>
      <c r="Y25" s="5"/>
      <c r="Z25" s="5"/>
    </row>
    <row r="26" spans="1:28" s="18" customFormat="1" ht="16.5" customHeight="1" thickBot="1" x14ac:dyDescent="0.4">
      <c r="A26" s="1"/>
      <c r="F26" s="19"/>
      <c r="G26" s="20"/>
    </row>
    <row r="27" spans="1:28" s="18" customFormat="1" ht="15.75" customHeight="1" x14ac:dyDescent="0.35">
      <c r="A27" s="1"/>
      <c r="B27" s="48"/>
      <c r="C27" s="49"/>
      <c r="D27" s="49"/>
      <c r="E27" s="49"/>
      <c r="F27" s="189">
        <f>D23</f>
        <v>2024</v>
      </c>
      <c r="G27" s="190"/>
      <c r="H27" s="191"/>
      <c r="I27" s="51" t="s">
        <v>10</v>
      </c>
      <c r="J27" s="51" t="s">
        <v>11</v>
      </c>
      <c r="K27" s="51" t="s">
        <v>12</v>
      </c>
      <c r="L27" s="51" t="s">
        <v>13</v>
      </c>
      <c r="M27" s="51" t="s">
        <v>14</v>
      </c>
      <c r="N27" s="51" t="s">
        <v>15</v>
      </c>
      <c r="O27" s="51" t="s">
        <v>16</v>
      </c>
      <c r="P27" s="51" t="s">
        <v>17</v>
      </c>
      <c r="Q27" s="51" t="s">
        <v>18</v>
      </c>
      <c r="R27" s="51" t="s">
        <v>19</v>
      </c>
      <c r="S27" s="51" t="s">
        <v>20</v>
      </c>
      <c r="T27" s="52" t="s">
        <v>21</v>
      </c>
    </row>
    <row r="28" spans="1:28" s="18" customFormat="1" ht="15.5" x14ac:dyDescent="0.35">
      <c r="A28" s="1"/>
      <c r="B28" s="53" t="s">
        <v>22</v>
      </c>
      <c r="C28" s="54"/>
      <c r="D28" s="54"/>
      <c r="E28" s="54"/>
      <c r="F28" s="197">
        <f>SUM(I28:T28)</f>
        <v>1200000</v>
      </c>
      <c r="G28" s="198"/>
      <c r="H28" s="199"/>
      <c r="I28" s="67">
        <v>100000</v>
      </c>
      <c r="J28" s="67">
        <v>100000</v>
      </c>
      <c r="K28" s="67">
        <v>100000</v>
      </c>
      <c r="L28" s="67">
        <v>100000</v>
      </c>
      <c r="M28" s="67">
        <v>100000</v>
      </c>
      <c r="N28" s="67">
        <v>100000</v>
      </c>
      <c r="O28" s="67">
        <v>100000</v>
      </c>
      <c r="P28" s="67">
        <v>100000</v>
      </c>
      <c r="Q28" s="67">
        <v>100000</v>
      </c>
      <c r="R28" s="67">
        <v>100000</v>
      </c>
      <c r="S28" s="67">
        <v>100000</v>
      </c>
      <c r="T28" s="68">
        <v>100000</v>
      </c>
    </row>
    <row r="29" spans="1:28" s="18" customFormat="1" ht="15.5" x14ac:dyDescent="0.35">
      <c r="A29" s="1"/>
      <c r="B29" s="53" t="s">
        <v>23</v>
      </c>
      <c r="C29" s="54"/>
      <c r="D29" s="54"/>
      <c r="E29" s="54"/>
      <c r="F29" s="194">
        <v>0.04</v>
      </c>
      <c r="G29" s="195"/>
      <c r="H29" s="196"/>
      <c r="I29" s="17">
        <f t="shared" ref="I29:T29" si="0">$F$29</f>
        <v>0.04</v>
      </c>
      <c r="J29" s="17">
        <f t="shared" si="0"/>
        <v>0.04</v>
      </c>
      <c r="K29" s="17">
        <f t="shared" si="0"/>
        <v>0.04</v>
      </c>
      <c r="L29" s="17">
        <f t="shared" si="0"/>
        <v>0.04</v>
      </c>
      <c r="M29" s="17">
        <f t="shared" si="0"/>
        <v>0.04</v>
      </c>
      <c r="N29" s="17">
        <f t="shared" si="0"/>
        <v>0.04</v>
      </c>
      <c r="O29" s="17">
        <f t="shared" si="0"/>
        <v>0.04</v>
      </c>
      <c r="P29" s="17">
        <f t="shared" si="0"/>
        <v>0.04</v>
      </c>
      <c r="Q29" s="17">
        <f t="shared" si="0"/>
        <v>0.04</v>
      </c>
      <c r="R29" s="17">
        <f t="shared" si="0"/>
        <v>0.04</v>
      </c>
      <c r="S29" s="17">
        <f t="shared" si="0"/>
        <v>0.04</v>
      </c>
      <c r="T29" s="55">
        <f t="shared" si="0"/>
        <v>0.04</v>
      </c>
    </row>
    <row r="30" spans="1:28" s="18" customFormat="1" ht="15.5" x14ac:dyDescent="0.35">
      <c r="A30" s="1"/>
      <c r="B30" s="53" t="s">
        <v>24</v>
      </c>
      <c r="C30" s="54"/>
      <c r="D30" s="54"/>
      <c r="E30" s="54"/>
      <c r="F30" s="197">
        <f>F28*F29</f>
        <v>48000</v>
      </c>
      <c r="G30" s="198"/>
      <c r="H30" s="199"/>
      <c r="I30" s="66">
        <f t="shared" ref="I30:T30" si="1">I28*I29</f>
        <v>4000</v>
      </c>
      <c r="J30" s="66">
        <f t="shared" si="1"/>
        <v>4000</v>
      </c>
      <c r="K30" s="66">
        <f t="shared" si="1"/>
        <v>4000</v>
      </c>
      <c r="L30" s="66">
        <f t="shared" si="1"/>
        <v>4000</v>
      </c>
      <c r="M30" s="66">
        <f t="shared" si="1"/>
        <v>4000</v>
      </c>
      <c r="N30" s="66">
        <f t="shared" si="1"/>
        <v>4000</v>
      </c>
      <c r="O30" s="66">
        <f t="shared" si="1"/>
        <v>4000</v>
      </c>
      <c r="P30" s="66">
        <f t="shared" si="1"/>
        <v>4000</v>
      </c>
      <c r="Q30" s="66">
        <f t="shared" si="1"/>
        <v>4000</v>
      </c>
      <c r="R30" s="66">
        <f t="shared" si="1"/>
        <v>4000</v>
      </c>
      <c r="S30" s="66">
        <f t="shared" si="1"/>
        <v>4000</v>
      </c>
      <c r="T30" s="71">
        <f t="shared" si="1"/>
        <v>4000</v>
      </c>
    </row>
    <row r="31" spans="1:28" s="18" customFormat="1" ht="15.5" x14ac:dyDescent="0.35">
      <c r="A31" s="1"/>
      <c r="B31" s="53" t="s">
        <v>120</v>
      </c>
      <c r="C31" s="54"/>
      <c r="D31" s="54"/>
      <c r="E31" s="54"/>
      <c r="F31" s="197">
        <f>SUM(I31:T31)</f>
        <v>35125.640549999996</v>
      </c>
      <c r="G31" s="198"/>
      <c r="H31" s="199"/>
      <c r="I31" s="66">
        <f>N121</f>
        <v>35125.640549999996</v>
      </c>
      <c r="J31" s="66">
        <f t="shared" ref="J31:T31" si="2">O121</f>
        <v>0</v>
      </c>
      <c r="K31" s="66">
        <f t="shared" si="2"/>
        <v>0</v>
      </c>
      <c r="L31" s="66">
        <f t="shared" si="2"/>
        <v>0</v>
      </c>
      <c r="M31" s="66">
        <f t="shared" si="2"/>
        <v>0</v>
      </c>
      <c r="N31" s="66">
        <f t="shared" si="2"/>
        <v>0</v>
      </c>
      <c r="O31" s="66">
        <f t="shared" si="2"/>
        <v>0</v>
      </c>
      <c r="P31" s="66">
        <f t="shared" si="2"/>
        <v>0</v>
      </c>
      <c r="Q31" s="66">
        <f t="shared" si="2"/>
        <v>0</v>
      </c>
      <c r="R31" s="66">
        <f t="shared" si="2"/>
        <v>0</v>
      </c>
      <c r="S31" s="66">
        <f t="shared" si="2"/>
        <v>0</v>
      </c>
      <c r="T31" s="71">
        <f t="shared" si="2"/>
        <v>0</v>
      </c>
    </row>
    <row r="32" spans="1:28" s="18" customFormat="1" ht="16" thickBot="1" x14ac:dyDescent="0.4">
      <c r="A32" s="1"/>
      <c r="B32" s="56" t="s">
        <v>119</v>
      </c>
      <c r="C32" s="57"/>
      <c r="D32" s="57"/>
      <c r="E32" s="57"/>
      <c r="F32" s="200">
        <f>F31/F28</f>
        <v>2.9271367124999996E-2</v>
      </c>
      <c r="G32" s="201"/>
      <c r="H32" s="202"/>
      <c r="I32" s="64">
        <f>I31/I28</f>
        <v>0.35125640549999998</v>
      </c>
      <c r="J32" s="64">
        <f>J31/J28</f>
        <v>0</v>
      </c>
      <c r="K32" s="64">
        <f t="shared" ref="K32:T32" si="3">K31/K28</f>
        <v>0</v>
      </c>
      <c r="L32" s="64">
        <f t="shared" si="3"/>
        <v>0</v>
      </c>
      <c r="M32" s="64">
        <f t="shared" si="3"/>
        <v>0</v>
      </c>
      <c r="N32" s="64">
        <f t="shared" si="3"/>
        <v>0</v>
      </c>
      <c r="O32" s="64">
        <f t="shared" si="3"/>
        <v>0</v>
      </c>
      <c r="P32" s="64">
        <f t="shared" si="3"/>
        <v>0</v>
      </c>
      <c r="Q32" s="64">
        <f t="shared" si="3"/>
        <v>0</v>
      </c>
      <c r="R32" s="64">
        <f t="shared" si="3"/>
        <v>0</v>
      </c>
      <c r="S32" s="64">
        <f t="shared" si="3"/>
        <v>0</v>
      </c>
      <c r="T32" s="72">
        <f t="shared" si="3"/>
        <v>0</v>
      </c>
    </row>
    <row r="33" spans="1:26" s="18" customFormat="1" ht="12.75" customHeight="1" x14ac:dyDescent="0.35">
      <c r="A33" s="1"/>
      <c r="F33" s="19"/>
      <c r="G33" s="20"/>
    </row>
    <row r="34" spans="1:26" s="18" customFormat="1" ht="19" thickBot="1" x14ac:dyDescent="0.5">
      <c r="A34" s="1"/>
      <c r="B34" s="29" t="str">
        <f>D23&amp;" "&amp;  D18 &amp; " " &amp; "Capital Plan"</f>
        <v>2024 Hotel Capital Plan</v>
      </c>
      <c r="C34" s="21"/>
      <c r="D34" s="21"/>
      <c r="E34" s="21"/>
      <c r="F34" s="22"/>
      <c r="G34" s="23"/>
      <c r="H34" s="21"/>
      <c r="I34" s="21"/>
      <c r="J34" s="21"/>
      <c r="K34" s="21"/>
      <c r="L34" s="21"/>
      <c r="M34" s="21"/>
      <c r="N34" s="21"/>
      <c r="O34" s="21"/>
      <c r="P34" s="21"/>
      <c r="Q34" s="21"/>
      <c r="R34" s="21"/>
      <c r="S34" s="21"/>
      <c r="T34" s="21"/>
      <c r="U34" s="21"/>
      <c r="V34" s="21"/>
      <c r="W34" s="21"/>
      <c r="X34" s="21"/>
      <c r="Y34" s="21"/>
    </row>
    <row r="35" spans="1:26" s="18" customFormat="1" ht="14.25" customHeight="1" thickBot="1" x14ac:dyDescent="0.4">
      <c r="A35" s="1"/>
      <c r="F35" s="19"/>
      <c r="G35" s="20"/>
    </row>
    <row r="36" spans="1:26" s="18" customFormat="1" ht="42" customHeight="1" x14ac:dyDescent="0.35">
      <c r="A36" s="1"/>
      <c r="B36" s="139" t="s">
        <v>25</v>
      </c>
      <c r="C36" s="192"/>
      <c r="D36" s="91" t="s">
        <v>26</v>
      </c>
      <c r="E36" s="92" t="s">
        <v>112</v>
      </c>
      <c r="F36" s="93" t="s">
        <v>27</v>
      </c>
      <c r="G36" s="94" t="s">
        <v>28</v>
      </c>
      <c r="H36" s="94" t="s">
        <v>29</v>
      </c>
      <c r="I36" s="94" t="s">
        <v>30</v>
      </c>
      <c r="J36" s="94" t="s">
        <v>31</v>
      </c>
      <c r="K36" s="94" t="s">
        <v>32</v>
      </c>
      <c r="L36" s="94" t="s">
        <v>33</v>
      </c>
      <c r="M36" s="94" t="s">
        <v>34</v>
      </c>
      <c r="N36" s="94" t="s">
        <v>10</v>
      </c>
      <c r="O36" s="94" t="s">
        <v>11</v>
      </c>
      <c r="P36" s="94" t="s">
        <v>12</v>
      </c>
      <c r="Q36" s="94" t="s">
        <v>13</v>
      </c>
      <c r="R36" s="94" t="s">
        <v>14</v>
      </c>
      <c r="S36" s="94" t="s">
        <v>15</v>
      </c>
      <c r="T36" s="94" t="s">
        <v>16</v>
      </c>
      <c r="U36" s="94" t="s">
        <v>17</v>
      </c>
      <c r="V36" s="94" t="s">
        <v>18</v>
      </c>
      <c r="W36" s="94" t="s">
        <v>19</v>
      </c>
      <c r="X36" s="94" t="s">
        <v>20</v>
      </c>
      <c r="Y36" s="95" t="s">
        <v>21</v>
      </c>
      <c r="Z36" s="24"/>
    </row>
    <row r="37" spans="1:26" s="18" customFormat="1" ht="15.5" x14ac:dyDescent="0.35">
      <c r="A37" s="1"/>
      <c r="B37" s="193" t="s">
        <v>35</v>
      </c>
      <c r="C37" s="137"/>
      <c r="D37" s="138"/>
      <c r="E37" s="6"/>
      <c r="F37" s="7"/>
      <c r="G37" s="8"/>
      <c r="H37" s="8">
        <f t="shared" ref="H37:Y37" si="4">SUM(H38:H49)</f>
        <v>1</v>
      </c>
      <c r="I37" s="8">
        <f t="shared" si="4"/>
        <v>12151</v>
      </c>
      <c r="J37" s="8">
        <f t="shared" si="4"/>
        <v>880.94749999999999</v>
      </c>
      <c r="K37" s="8">
        <f t="shared" si="4"/>
        <v>651.59737500000006</v>
      </c>
      <c r="L37" s="8">
        <f t="shared" si="4"/>
        <v>13683.544875</v>
      </c>
      <c r="M37" s="8">
        <f t="shared" si="4"/>
        <v>13683.544875</v>
      </c>
      <c r="N37" s="8">
        <f t="shared" si="4"/>
        <v>13683.544875</v>
      </c>
      <c r="O37" s="8">
        <f t="shared" si="4"/>
        <v>0</v>
      </c>
      <c r="P37" s="8">
        <f t="shared" si="4"/>
        <v>0</v>
      </c>
      <c r="Q37" s="8">
        <f t="shared" si="4"/>
        <v>0</v>
      </c>
      <c r="R37" s="8">
        <f t="shared" si="4"/>
        <v>0</v>
      </c>
      <c r="S37" s="8">
        <f t="shared" si="4"/>
        <v>0</v>
      </c>
      <c r="T37" s="8">
        <f t="shared" si="4"/>
        <v>0</v>
      </c>
      <c r="U37" s="8">
        <f t="shared" si="4"/>
        <v>0</v>
      </c>
      <c r="V37" s="8">
        <f t="shared" si="4"/>
        <v>0</v>
      </c>
      <c r="W37" s="8">
        <f t="shared" si="4"/>
        <v>0</v>
      </c>
      <c r="X37" s="8">
        <f t="shared" si="4"/>
        <v>0</v>
      </c>
      <c r="Y37" s="96">
        <f t="shared" si="4"/>
        <v>0</v>
      </c>
    </row>
    <row r="38" spans="1:26" s="18" customFormat="1" ht="14.25" customHeight="1" x14ac:dyDescent="0.35">
      <c r="A38" s="1"/>
      <c r="B38" s="97" t="s">
        <v>36</v>
      </c>
      <c r="C38" s="9" t="s">
        <v>101</v>
      </c>
      <c r="D38" s="9" t="s">
        <v>102</v>
      </c>
      <c r="E38" s="9" t="s">
        <v>108</v>
      </c>
      <c r="F38" s="10">
        <v>18</v>
      </c>
      <c r="G38" s="11">
        <v>675</v>
      </c>
      <c r="H38" s="11">
        <v>1</v>
      </c>
      <c r="I38" s="12">
        <f t="shared" ref="I38:I49" si="5">(F38*G38)+H38</f>
        <v>12151</v>
      </c>
      <c r="J38" s="12">
        <f t="shared" ref="J38:J49" si="6">I38*$D$20</f>
        <v>880.94749999999999</v>
      </c>
      <c r="K38" s="12">
        <f t="shared" ref="K38:K49" si="7">SUM(I38:J38)*5%</f>
        <v>651.59737500000006</v>
      </c>
      <c r="L38" s="12">
        <f t="shared" ref="L38:L49" si="8">SUM(I38:K38)</f>
        <v>13683.544875</v>
      </c>
      <c r="M38" s="12">
        <f t="shared" ref="M38:M49" si="9">SUM(N38, O38,P38,Q38,R38,S38,T38,U38,V38,W38,X38,Y38)</f>
        <v>13683.544875</v>
      </c>
      <c r="N38" s="59">
        <f>L38</f>
        <v>13683.544875</v>
      </c>
      <c r="O38" s="59"/>
      <c r="P38" s="59"/>
      <c r="Q38" s="59"/>
      <c r="R38" s="59"/>
      <c r="S38" s="59"/>
      <c r="T38" s="59"/>
      <c r="U38" s="59"/>
      <c r="V38" s="59"/>
      <c r="W38" s="59"/>
      <c r="X38" s="59"/>
      <c r="Y38" s="98"/>
    </row>
    <row r="39" spans="1:26" s="18" customFormat="1" ht="14.25" customHeight="1" x14ac:dyDescent="0.35">
      <c r="A39" s="1"/>
      <c r="B39" s="97" t="s">
        <v>37</v>
      </c>
      <c r="C39" s="9"/>
      <c r="D39" s="9"/>
      <c r="E39" s="9" t="s">
        <v>110</v>
      </c>
      <c r="F39" s="10"/>
      <c r="G39" s="11"/>
      <c r="H39" s="11"/>
      <c r="I39" s="12">
        <f t="shared" si="5"/>
        <v>0</v>
      </c>
      <c r="J39" s="12">
        <f t="shared" si="6"/>
        <v>0</v>
      </c>
      <c r="K39" s="12">
        <f t="shared" si="7"/>
        <v>0</v>
      </c>
      <c r="L39" s="12">
        <f t="shared" si="8"/>
        <v>0</v>
      </c>
      <c r="M39" s="12">
        <f t="shared" si="9"/>
        <v>0</v>
      </c>
      <c r="N39" s="59"/>
      <c r="O39" s="59"/>
      <c r="P39" s="59"/>
      <c r="Q39" s="59"/>
      <c r="R39" s="59"/>
      <c r="S39" s="59"/>
      <c r="T39" s="59"/>
      <c r="U39" s="59"/>
      <c r="V39" s="59"/>
      <c r="W39" s="59"/>
      <c r="X39" s="59"/>
      <c r="Y39" s="98"/>
    </row>
    <row r="40" spans="1:26" s="18" customFormat="1" ht="14.25" customHeight="1" x14ac:dyDescent="0.35">
      <c r="A40" s="1"/>
      <c r="B40" s="97" t="s">
        <v>38</v>
      </c>
      <c r="C40" s="9"/>
      <c r="D40" s="9"/>
      <c r="E40" s="9"/>
      <c r="F40" s="10"/>
      <c r="G40" s="11"/>
      <c r="H40" s="11"/>
      <c r="I40" s="12">
        <f t="shared" si="5"/>
        <v>0</v>
      </c>
      <c r="J40" s="12">
        <f t="shared" si="6"/>
        <v>0</v>
      </c>
      <c r="K40" s="12">
        <f t="shared" si="7"/>
        <v>0</v>
      </c>
      <c r="L40" s="12">
        <f t="shared" si="8"/>
        <v>0</v>
      </c>
      <c r="M40" s="12">
        <f t="shared" si="9"/>
        <v>0</v>
      </c>
      <c r="N40" s="59"/>
      <c r="O40" s="59"/>
      <c r="P40" s="59"/>
      <c r="Q40" s="59"/>
      <c r="R40" s="59"/>
      <c r="S40" s="59"/>
      <c r="T40" s="59"/>
      <c r="U40" s="59"/>
      <c r="V40" s="59"/>
      <c r="W40" s="59"/>
      <c r="X40" s="59"/>
      <c r="Y40" s="98"/>
    </row>
    <row r="41" spans="1:26" s="18" customFormat="1" ht="14.25" customHeight="1" x14ac:dyDescent="0.35">
      <c r="A41" s="1"/>
      <c r="B41" s="97" t="s">
        <v>39</v>
      </c>
      <c r="C41" s="9"/>
      <c r="D41" s="9"/>
      <c r="E41" s="9"/>
      <c r="F41" s="10"/>
      <c r="G41" s="11"/>
      <c r="H41" s="11"/>
      <c r="I41" s="12">
        <f t="shared" si="5"/>
        <v>0</v>
      </c>
      <c r="J41" s="12">
        <f t="shared" si="6"/>
        <v>0</v>
      </c>
      <c r="K41" s="12">
        <f t="shared" si="7"/>
        <v>0</v>
      </c>
      <c r="L41" s="12">
        <f t="shared" si="8"/>
        <v>0</v>
      </c>
      <c r="M41" s="12">
        <f t="shared" si="9"/>
        <v>0</v>
      </c>
      <c r="N41" s="59"/>
      <c r="O41" s="59"/>
      <c r="P41" s="59"/>
      <c r="Q41" s="59"/>
      <c r="R41" s="59"/>
      <c r="S41" s="59"/>
      <c r="T41" s="59"/>
      <c r="U41" s="59"/>
      <c r="V41" s="59"/>
      <c r="W41" s="59"/>
      <c r="X41" s="59"/>
      <c r="Y41" s="98"/>
    </row>
    <row r="42" spans="1:26" s="18" customFormat="1" ht="14.25" customHeight="1" x14ac:dyDescent="0.35">
      <c r="A42" s="1"/>
      <c r="B42" s="97" t="s">
        <v>40</v>
      </c>
      <c r="C42" s="9"/>
      <c r="D42" s="9"/>
      <c r="E42" s="9"/>
      <c r="F42" s="10"/>
      <c r="G42" s="11"/>
      <c r="H42" s="11"/>
      <c r="I42" s="12">
        <f t="shared" si="5"/>
        <v>0</v>
      </c>
      <c r="J42" s="12">
        <f t="shared" si="6"/>
        <v>0</v>
      </c>
      <c r="K42" s="12">
        <f t="shared" si="7"/>
        <v>0</v>
      </c>
      <c r="L42" s="12">
        <f t="shared" si="8"/>
        <v>0</v>
      </c>
      <c r="M42" s="12">
        <f t="shared" si="9"/>
        <v>0</v>
      </c>
      <c r="N42" s="59"/>
      <c r="O42" s="59"/>
      <c r="P42" s="59"/>
      <c r="Q42" s="59"/>
      <c r="R42" s="59"/>
      <c r="S42" s="59"/>
      <c r="T42" s="59"/>
      <c r="U42" s="59"/>
      <c r="V42" s="59"/>
      <c r="W42" s="59"/>
      <c r="X42" s="59"/>
      <c r="Y42" s="98"/>
    </row>
    <row r="43" spans="1:26" s="18" customFormat="1" ht="14.25" customHeight="1" x14ac:dyDescent="0.35">
      <c r="A43" s="1"/>
      <c r="B43" s="97" t="s">
        <v>41</v>
      </c>
      <c r="C43" s="9"/>
      <c r="D43" s="9"/>
      <c r="E43" s="9"/>
      <c r="F43" s="10"/>
      <c r="G43" s="11"/>
      <c r="H43" s="11"/>
      <c r="I43" s="12">
        <f t="shared" si="5"/>
        <v>0</v>
      </c>
      <c r="J43" s="12">
        <f t="shared" si="6"/>
        <v>0</v>
      </c>
      <c r="K43" s="12">
        <f t="shared" si="7"/>
        <v>0</v>
      </c>
      <c r="L43" s="12">
        <f t="shared" si="8"/>
        <v>0</v>
      </c>
      <c r="M43" s="12">
        <f t="shared" si="9"/>
        <v>0</v>
      </c>
      <c r="N43" s="59"/>
      <c r="O43" s="59"/>
      <c r="P43" s="59"/>
      <c r="Q43" s="59"/>
      <c r="R43" s="59"/>
      <c r="S43" s="59"/>
      <c r="T43" s="59"/>
      <c r="U43" s="59"/>
      <c r="V43" s="59"/>
      <c r="W43" s="59"/>
      <c r="X43" s="59"/>
      <c r="Y43" s="98"/>
    </row>
    <row r="44" spans="1:26" s="18" customFormat="1" ht="14.25" customHeight="1" x14ac:dyDescent="0.35">
      <c r="A44" s="1"/>
      <c r="B44" s="97" t="s">
        <v>42</v>
      </c>
      <c r="C44" s="9"/>
      <c r="D44" s="9"/>
      <c r="E44" s="9"/>
      <c r="F44" s="10"/>
      <c r="G44" s="11"/>
      <c r="H44" s="11"/>
      <c r="I44" s="12">
        <f t="shared" ref="I44:I45" si="10">(F44*G44)+H44</f>
        <v>0</v>
      </c>
      <c r="J44" s="12">
        <f t="shared" ref="J44:J45" si="11">I44*$D$20</f>
        <v>0</v>
      </c>
      <c r="K44" s="12">
        <f t="shared" ref="K44:K45" si="12">SUM(I44:J44)*5%</f>
        <v>0</v>
      </c>
      <c r="L44" s="12">
        <f t="shared" ref="L44:L45" si="13">SUM(I44:K44)</f>
        <v>0</v>
      </c>
      <c r="M44" s="12">
        <f t="shared" ref="M44:M45" si="14">SUM(N44, O44,P44,Q44,R44,S44,T44,U44,V44,W44,X44,Y44)</f>
        <v>0</v>
      </c>
      <c r="N44" s="59"/>
      <c r="O44" s="59"/>
      <c r="P44" s="59"/>
      <c r="Q44" s="59"/>
      <c r="R44" s="59"/>
      <c r="S44" s="59"/>
      <c r="T44" s="59"/>
      <c r="U44" s="59"/>
      <c r="V44" s="59"/>
      <c r="W44" s="59"/>
      <c r="X44" s="59"/>
      <c r="Y44" s="98"/>
    </row>
    <row r="45" spans="1:26" s="18" customFormat="1" ht="14.25" customHeight="1" x14ac:dyDescent="0.35">
      <c r="A45" s="1"/>
      <c r="B45" s="97" t="s">
        <v>43</v>
      </c>
      <c r="C45" s="9"/>
      <c r="D45" s="9"/>
      <c r="E45" s="9"/>
      <c r="F45" s="10"/>
      <c r="G45" s="11"/>
      <c r="H45" s="11"/>
      <c r="I45" s="12">
        <f t="shared" si="10"/>
        <v>0</v>
      </c>
      <c r="J45" s="12">
        <f t="shared" si="11"/>
        <v>0</v>
      </c>
      <c r="K45" s="12">
        <f t="shared" si="12"/>
        <v>0</v>
      </c>
      <c r="L45" s="12">
        <f t="shared" si="13"/>
        <v>0</v>
      </c>
      <c r="M45" s="12">
        <f t="shared" si="14"/>
        <v>0</v>
      </c>
      <c r="N45" s="59"/>
      <c r="O45" s="59"/>
      <c r="P45" s="59"/>
      <c r="Q45" s="59"/>
      <c r="R45" s="59"/>
      <c r="S45" s="59"/>
      <c r="T45" s="59"/>
      <c r="U45" s="59"/>
      <c r="V45" s="59"/>
      <c r="W45" s="59"/>
      <c r="X45" s="59"/>
      <c r="Y45" s="98"/>
    </row>
    <row r="46" spans="1:26" s="18" customFormat="1" ht="14.25" customHeight="1" x14ac:dyDescent="0.35">
      <c r="A46" s="1"/>
      <c r="B46" s="97" t="s">
        <v>44</v>
      </c>
      <c r="C46" s="9"/>
      <c r="D46" s="9"/>
      <c r="E46" s="9"/>
      <c r="F46" s="10"/>
      <c r="G46" s="11"/>
      <c r="H46" s="11"/>
      <c r="I46" s="12">
        <f t="shared" si="5"/>
        <v>0</v>
      </c>
      <c r="J46" s="12">
        <f t="shared" si="6"/>
        <v>0</v>
      </c>
      <c r="K46" s="12">
        <f t="shared" si="7"/>
        <v>0</v>
      </c>
      <c r="L46" s="12">
        <f t="shared" si="8"/>
        <v>0</v>
      </c>
      <c r="M46" s="12">
        <f t="shared" si="9"/>
        <v>0</v>
      </c>
      <c r="N46" s="59"/>
      <c r="O46" s="59"/>
      <c r="P46" s="59"/>
      <c r="Q46" s="59"/>
      <c r="R46" s="59"/>
      <c r="S46" s="59"/>
      <c r="T46" s="59"/>
      <c r="U46" s="59"/>
      <c r="V46" s="59"/>
      <c r="W46" s="59"/>
      <c r="X46" s="59"/>
      <c r="Y46" s="98"/>
    </row>
    <row r="47" spans="1:26" s="18" customFormat="1" ht="14.25" customHeight="1" x14ac:dyDescent="0.35">
      <c r="A47" s="1"/>
      <c r="B47" s="97" t="s">
        <v>45</v>
      </c>
      <c r="C47" s="9"/>
      <c r="D47" s="9"/>
      <c r="E47" s="9"/>
      <c r="F47" s="10"/>
      <c r="G47" s="11"/>
      <c r="H47" s="11"/>
      <c r="I47" s="12">
        <f t="shared" si="5"/>
        <v>0</v>
      </c>
      <c r="J47" s="12">
        <f t="shared" si="6"/>
        <v>0</v>
      </c>
      <c r="K47" s="12">
        <f t="shared" si="7"/>
        <v>0</v>
      </c>
      <c r="L47" s="12">
        <f t="shared" si="8"/>
        <v>0</v>
      </c>
      <c r="M47" s="12">
        <f t="shared" si="9"/>
        <v>0</v>
      </c>
      <c r="N47" s="59"/>
      <c r="O47" s="59"/>
      <c r="P47" s="59"/>
      <c r="Q47" s="59"/>
      <c r="R47" s="59"/>
      <c r="S47" s="59"/>
      <c r="T47" s="59"/>
      <c r="U47" s="59"/>
      <c r="V47" s="59"/>
      <c r="W47" s="59"/>
      <c r="X47" s="59"/>
      <c r="Y47" s="98"/>
    </row>
    <row r="48" spans="1:26" s="18" customFormat="1" ht="14.25" customHeight="1" x14ac:dyDescent="0.35">
      <c r="A48" s="1"/>
      <c r="B48" s="97" t="s">
        <v>122</v>
      </c>
      <c r="C48" s="9"/>
      <c r="D48" s="9"/>
      <c r="E48" s="9"/>
      <c r="F48" s="10"/>
      <c r="G48" s="11"/>
      <c r="H48" s="11"/>
      <c r="I48" s="12">
        <f t="shared" si="5"/>
        <v>0</v>
      </c>
      <c r="J48" s="12">
        <f t="shared" si="6"/>
        <v>0</v>
      </c>
      <c r="K48" s="12">
        <f t="shared" si="7"/>
        <v>0</v>
      </c>
      <c r="L48" s="12">
        <f t="shared" si="8"/>
        <v>0</v>
      </c>
      <c r="M48" s="12">
        <f t="shared" si="9"/>
        <v>0</v>
      </c>
      <c r="N48" s="59"/>
      <c r="O48" s="59"/>
      <c r="P48" s="59"/>
      <c r="Q48" s="59"/>
      <c r="R48" s="59"/>
      <c r="S48" s="59"/>
      <c r="T48" s="59"/>
      <c r="U48" s="59"/>
      <c r="V48" s="59"/>
      <c r="W48" s="59"/>
      <c r="X48" s="59"/>
      <c r="Y48" s="98"/>
    </row>
    <row r="49" spans="1:25" s="18" customFormat="1" ht="14.25" customHeight="1" x14ac:dyDescent="0.35">
      <c r="A49" s="1"/>
      <c r="B49" s="97" t="s">
        <v>123</v>
      </c>
      <c r="C49" s="9"/>
      <c r="D49" s="9"/>
      <c r="E49" s="9"/>
      <c r="F49" s="10"/>
      <c r="G49" s="11"/>
      <c r="H49" s="11"/>
      <c r="I49" s="12">
        <f t="shared" si="5"/>
        <v>0</v>
      </c>
      <c r="J49" s="12">
        <f t="shared" si="6"/>
        <v>0</v>
      </c>
      <c r="K49" s="12">
        <f t="shared" si="7"/>
        <v>0</v>
      </c>
      <c r="L49" s="12">
        <f t="shared" si="8"/>
        <v>0</v>
      </c>
      <c r="M49" s="12">
        <f t="shared" si="9"/>
        <v>0</v>
      </c>
      <c r="N49" s="59"/>
      <c r="O49" s="59"/>
      <c r="P49" s="59"/>
      <c r="Q49" s="59"/>
      <c r="R49" s="59"/>
      <c r="S49" s="59"/>
      <c r="T49" s="59"/>
      <c r="U49" s="59"/>
      <c r="V49" s="59"/>
      <c r="W49" s="59"/>
      <c r="X49" s="59"/>
      <c r="Y49" s="98"/>
    </row>
    <row r="50" spans="1:25" s="18" customFormat="1" ht="15.5" x14ac:dyDescent="0.35">
      <c r="A50" s="1"/>
      <c r="B50" s="193" t="s">
        <v>46</v>
      </c>
      <c r="C50" s="137"/>
      <c r="D50" s="138"/>
      <c r="E50" s="6"/>
      <c r="F50" s="7"/>
      <c r="G50" s="8"/>
      <c r="H50" s="8">
        <f t="shared" ref="H50:Y50" si="15">SUM(H51:H62)</f>
        <v>1</v>
      </c>
      <c r="I50" s="8">
        <f t="shared" si="15"/>
        <v>6401</v>
      </c>
      <c r="J50" s="8">
        <f t="shared" si="15"/>
        <v>464.07249999999999</v>
      </c>
      <c r="K50" s="8">
        <f t="shared" si="15"/>
        <v>343.25362500000006</v>
      </c>
      <c r="L50" s="8">
        <f t="shared" si="15"/>
        <v>7208.3261250000005</v>
      </c>
      <c r="M50" s="8">
        <f t="shared" si="15"/>
        <v>7208.3261250000005</v>
      </c>
      <c r="N50" s="8">
        <f t="shared" si="15"/>
        <v>7208.3261250000005</v>
      </c>
      <c r="O50" s="8">
        <f t="shared" si="15"/>
        <v>0</v>
      </c>
      <c r="P50" s="8">
        <f t="shared" si="15"/>
        <v>0</v>
      </c>
      <c r="Q50" s="8">
        <f t="shared" si="15"/>
        <v>0</v>
      </c>
      <c r="R50" s="8">
        <f t="shared" si="15"/>
        <v>0</v>
      </c>
      <c r="S50" s="8">
        <f t="shared" si="15"/>
        <v>0</v>
      </c>
      <c r="T50" s="8">
        <f t="shared" si="15"/>
        <v>0</v>
      </c>
      <c r="U50" s="8">
        <f t="shared" si="15"/>
        <v>0</v>
      </c>
      <c r="V50" s="8">
        <f t="shared" si="15"/>
        <v>0</v>
      </c>
      <c r="W50" s="8">
        <f t="shared" si="15"/>
        <v>0</v>
      </c>
      <c r="X50" s="8">
        <f t="shared" si="15"/>
        <v>0</v>
      </c>
      <c r="Y50" s="96">
        <f t="shared" si="15"/>
        <v>0</v>
      </c>
    </row>
    <row r="51" spans="1:25" s="60" customFormat="1" ht="14.25" customHeight="1" x14ac:dyDescent="0.35">
      <c r="A51" s="1"/>
      <c r="B51" s="97" t="s">
        <v>47</v>
      </c>
      <c r="C51" s="9" t="s">
        <v>101</v>
      </c>
      <c r="D51" s="9" t="s">
        <v>102</v>
      </c>
      <c r="E51" s="9" t="s">
        <v>107</v>
      </c>
      <c r="F51" s="10">
        <v>4</v>
      </c>
      <c r="G51" s="11">
        <v>1600</v>
      </c>
      <c r="H51" s="11">
        <v>1</v>
      </c>
      <c r="I51" s="12">
        <f t="shared" ref="I51:I62" si="16">(F51*G51)+H51</f>
        <v>6401</v>
      </c>
      <c r="J51" s="12">
        <f t="shared" ref="J51:J62" si="17">I51*$D$20</f>
        <v>464.07249999999999</v>
      </c>
      <c r="K51" s="12">
        <f t="shared" ref="K51:K62" si="18">SUM(I51:J51)*5%</f>
        <v>343.25362500000006</v>
      </c>
      <c r="L51" s="12">
        <f t="shared" ref="L51:L62" si="19">SUM(I51:K51)</f>
        <v>7208.3261250000005</v>
      </c>
      <c r="M51" s="12">
        <f t="shared" ref="M51:M62" si="20">SUM(N51, O51,P51,Q51,R51,S51,T51,U51,V51,W51,X51,Y51)</f>
        <v>7208.3261250000005</v>
      </c>
      <c r="N51" s="59">
        <f>L51</f>
        <v>7208.3261250000005</v>
      </c>
      <c r="O51" s="59"/>
      <c r="P51" s="59"/>
      <c r="Q51" s="59"/>
      <c r="R51" s="59"/>
      <c r="S51" s="59"/>
      <c r="T51" s="59"/>
      <c r="U51" s="59"/>
      <c r="V51" s="59"/>
      <c r="W51" s="59"/>
      <c r="X51" s="59"/>
      <c r="Y51" s="98"/>
    </row>
    <row r="52" spans="1:25" s="60" customFormat="1" ht="14.25" customHeight="1" x14ac:dyDescent="0.35">
      <c r="A52" s="1"/>
      <c r="B52" s="97" t="s">
        <v>48</v>
      </c>
      <c r="C52" s="9"/>
      <c r="D52" s="9"/>
      <c r="E52" s="9"/>
      <c r="F52" s="10"/>
      <c r="G52" s="11"/>
      <c r="H52" s="11"/>
      <c r="I52" s="12">
        <f t="shared" si="16"/>
        <v>0</v>
      </c>
      <c r="J52" s="12">
        <f t="shared" si="17"/>
        <v>0</v>
      </c>
      <c r="K52" s="12">
        <f t="shared" si="18"/>
        <v>0</v>
      </c>
      <c r="L52" s="12">
        <f t="shared" si="19"/>
        <v>0</v>
      </c>
      <c r="M52" s="12">
        <f t="shared" si="20"/>
        <v>0</v>
      </c>
      <c r="N52" s="59"/>
      <c r="O52" s="59"/>
      <c r="P52" s="59"/>
      <c r="Q52" s="59"/>
      <c r="R52" s="59"/>
      <c r="S52" s="59"/>
      <c r="T52" s="59"/>
      <c r="U52" s="59"/>
      <c r="V52" s="59"/>
      <c r="W52" s="59"/>
      <c r="X52" s="59"/>
      <c r="Y52" s="98"/>
    </row>
    <row r="53" spans="1:25" s="60" customFormat="1" ht="14.25" customHeight="1" x14ac:dyDescent="0.35">
      <c r="A53" s="1"/>
      <c r="B53" s="97" t="s">
        <v>49</v>
      </c>
      <c r="C53" s="9"/>
      <c r="D53" s="9"/>
      <c r="E53" s="9"/>
      <c r="F53" s="10"/>
      <c r="G53" s="11"/>
      <c r="H53" s="11"/>
      <c r="I53" s="12">
        <f t="shared" si="16"/>
        <v>0</v>
      </c>
      <c r="J53" s="12">
        <f t="shared" si="17"/>
        <v>0</v>
      </c>
      <c r="K53" s="12">
        <f t="shared" si="18"/>
        <v>0</v>
      </c>
      <c r="L53" s="12">
        <f t="shared" si="19"/>
        <v>0</v>
      </c>
      <c r="M53" s="12">
        <f t="shared" si="20"/>
        <v>0</v>
      </c>
      <c r="N53" s="59"/>
      <c r="O53" s="59"/>
      <c r="P53" s="59"/>
      <c r="Q53" s="59"/>
      <c r="R53" s="59"/>
      <c r="S53" s="59"/>
      <c r="T53" s="59"/>
      <c r="U53" s="59"/>
      <c r="V53" s="59"/>
      <c r="W53" s="59"/>
      <c r="X53" s="59"/>
      <c r="Y53" s="98"/>
    </row>
    <row r="54" spans="1:25" s="60" customFormat="1" ht="14.25" customHeight="1" x14ac:dyDescent="0.35">
      <c r="A54" s="1"/>
      <c r="B54" s="97" t="s">
        <v>50</v>
      </c>
      <c r="C54" s="9"/>
      <c r="D54" s="9"/>
      <c r="E54" s="9"/>
      <c r="F54" s="10"/>
      <c r="G54" s="11"/>
      <c r="H54" s="11"/>
      <c r="I54" s="12">
        <f t="shared" si="16"/>
        <v>0</v>
      </c>
      <c r="J54" s="12">
        <f t="shared" si="17"/>
        <v>0</v>
      </c>
      <c r="K54" s="12">
        <f t="shared" si="18"/>
        <v>0</v>
      </c>
      <c r="L54" s="12">
        <f t="shared" si="19"/>
        <v>0</v>
      </c>
      <c r="M54" s="12">
        <f t="shared" si="20"/>
        <v>0</v>
      </c>
      <c r="N54" s="59"/>
      <c r="O54" s="59"/>
      <c r="P54" s="59"/>
      <c r="Q54" s="59"/>
      <c r="R54" s="59"/>
      <c r="S54" s="59"/>
      <c r="T54" s="59"/>
      <c r="U54" s="59"/>
      <c r="V54" s="59"/>
      <c r="W54" s="59"/>
      <c r="X54" s="59"/>
      <c r="Y54" s="98"/>
    </row>
    <row r="55" spans="1:25" s="60" customFormat="1" ht="14.25" customHeight="1" x14ac:dyDescent="0.35">
      <c r="A55" s="1"/>
      <c r="B55" s="97" t="s">
        <v>51</v>
      </c>
      <c r="C55" s="9"/>
      <c r="D55" s="9"/>
      <c r="E55" s="9"/>
      <c r="F55" s="10"/>
      <c r="G55" s="11"/>
      <c r="H55" s="11"/>
      <c r="I55" s="12">
        <f t="shared" si="16"/>
        <v>0</v>
      </c>
      <c r="J55" s="12">
        <f t="shared" si="17"/>
        <v>0</v>
      </c>
      <c r="K55" s="12">
        <f t="shared" si="18"/>
        <v>0</v>
      </c>
      <c r="L55" s="12">
        <f t="shared" si="19"/>
        <v>0</v>
      </c>
      <c r="M55" s="12">
        <f t="shared" si="20"/>
        <v>0</v>
      </c>
      <c r="N55" s="59"/>
      <c r="O55" s="59"/>
      <c r="P55" s="59"/>
      <c r="Q55" s="59"/>
      <c r="R55" s="59"/>
      <c r="S55" s="59"/>
      <c r="T55" s="59"/>
      <c r="U55" s="59"/>
      <c r="V55" s="59"/>
      <c r="W55" s="59"/>
      <c r="X55" s="59"/>
      <c r="Y55" s="98"/>
    </row>
    <row r="56" spans="1:25" s="60" customFormat="1" ht="14.25" customHeight="1" x14ac:dyDescent="0.35">
      <c r="A56" s="1"/>
      <c r="B56" s="97" t="s">
        <v>52</v>
      </c>
      <c r="C56" s="9"/>
      <c r="D56" s="9"/>
      <c r="E56" s="9"/>
      <c r="F56" s="10"/>
      <c r="G56" s="11"/>
      <c r="H56" s="11"/>
      <c r="I56" s="12">
        <f t="shared" si="16"/>
        <v>0</v>
      </c>
      <c r="J56" s="12">
        <f t="shared" si="17"/>
        <v>0</v>
      </c>
      <c r="K56" s="12">
        <f t="shared" si="18"/>
        <v>0</v>
      </c>
      <c r="L56" s="12">
        <f t="shared" si="19"/>
        <v>0</v>
      </c>
      <c r="M56" s="12">
        <f t="shared" si="20"/>
        <v>0</v>
      </c>
      <c r="N56" s="59"/>
      <c r="O56" s="59"/>
      <c r="P56" s="59"/>
      <c r="Q56" s="59"/>
      <c r="R56" s="59"/>
      <c r="S56" s="59"/>
      <c r="T56" s="59"/>
      <c r="U56" s="59"/>
      <c r="V56" s="59"/>
      <c r="W56" s="59"/>
      <c r="X56" s="59"/>
      <c r="Y56" s="98"/>
    </row>
    <row r="57" spans="1:25" s="60" customFormat="1" ht="14.25" customHeight="1" x14ac:dyDescent="0.35">
      <c r="A57" s="1"/>
      <c r="B57" s="97" t="s">
        <v>53</v>
      </c>
      <c r="C57" s="9"/>
      <c r="D57" s="9"/>
      <c r="E57" s="9"/>
      <c r="F57" s="10"/>
      <c r="G57" s="11"/>
      <c r="H57" s="11"/>
      <c r="I57" s="12">
        <f t="shared" si="16"/>
        <v>0</v>
      </c>
      <c r="J57" s="12">
        <f t="shared" si="17"/>
        <v>0</v>
      </c>
      <c r="K57" s="12">
        <f t="shared" si="18"/>
        <v>0</v>
      </c>
      <c r="L57" s="12">
        <f t="shared" si="19"/>
        <v>0</v>
      </c>
      <c r="M57" s="12">
        <f t="shared" si="20"/>
        <v>0</v>
      </c>
      <c r="N57" s="59"/>
      <c r="O57" s="59"/>
      <c r="P57" s="59"/>
      <c r="Q57" s="59"/>
      <c r="R57" s="59"/>
      <c r="S57" s="59"/>
      <c r="T57" s="59"/>
      <c r="U57" s="59"/>
      <c r="V57" s="59"/>
      <c r="W57" s="59"/>
      <c r="X57" s="59"/>
      <c r="Y57" s="98"/>
    </row>
    <row r="58" spans="1:25" s="60" customFormat="1" ht="14.25" customHeight="1" x14ac:dyDescent="0.35">
      <c r="A58" s="1"/>
      <c r="B58" s="97" t="s">
        <v>54</v>
      </c>
      <c r="C58" s="9"/>
      <c r="D58" s="9"/>
      <c r="E58" s="9"/>
      <c r="F58" s="10"/>
      <c r="G58" s="11"/>
      <c r="H58" s="11"/>
      <c r="I58" s="12">
        <f t="shared" ref="I58:I59" si="21">(F58*G58)+H58</f>
        <v>0</v>
      </c>
      <c r="J58" s="12">
        <f t="shared" ref="J58:J59" si="22">I58*$D$20</f>
        <v>0</v>
      </c>
      <c r="K58" s="12">
        <f t="shared" ref="K58:K59" si="23">SUM(I58:J58)*5%</f>
        <v>0</v>
      </c>
      <c r="L58" s="12">
        <f t="shared" ref="L58:L59" si="24">SUM(I58:K58)</f>
        <v>0</v>
      </c>
      <c r="M58" s="12">
        <f t="shared" ref="M58:M59" si="25">SUM(N58, O58,P58,Q58,R58,S58,T58,U58,V58,W58,X58,Y58)</f>
        <v>0</v>
      </c>
      <c r="N58" s="59"/>
      <c r="O58" s="59"/>
      <c r="P58" s="59"/>
      <c r="Q58" s="59"/>
      <c r="R58" s="59"/>
      <c r="S58" s="59"/>
      <c r="T58" s="59"/>
      <c r="U58" s="59"/>
      <c r="V58" s="59"/>
      <c r="W58" s="59"/>
      <c r="X58" s="59"/>
      <c r="Y58" s="98"/>
    </row>
    <row r="59" spans="1:25" s="60" customFormat="1" ht="14.25" customHeight="1" x14ac:dyDescent="0.35">
      <c r="A59" s="1"/>
      <c r="B59" s="97" t="s">
        <v>55</v>
      </c>
      <c r="C59" s="9"/>
      <c r="D59" s="9"/>
      <c r="E59" s="9"/>
      <c r="F59" s="10"/>
      <c r="G59" s="11"/>
      <c r="H59" s="11"/>
      <c r="I59" s="12">
        <f t="shared" si="21"/>
        <v>0</v>
      </c>
      <c r="J59" s="12">
        <f t="shared" si="22"/>
        <v>0</v>
      </c>
      <c r="K59" s="12">
        <f t="shared" si="23"/>
        <v>0</v>
      </c>
      <c r="L59" s="12">
        <f t="shared" si="24"/>
        <v>0</v>
      </c>
      <c r="M59" s="12">
        <f t="shared" si="25"/>
        <v>0</v>
      </c>
      <c r="N59" s="59"/>
      <c r="O59" s="59"/>
      <c r="P59" s="59"/>
      <c r="Q59" s="59"/>
      <c r="R59" s="59"/>
      <c r="S59" s="59"/>
      <c r="T59" s="59"/>
      <c r="U59" s="59"/>
      <c r="V59" s="59"/>
      <c r="W59" s="59"/>
      <c r="X59" s="59"/>
      <c r="Y59" s="98"/>
    </row>
    <row r="60" spans="1:25" s="60" customFormat="1" ht="14.25" customHeight="1" x14ac:dyDescent="0.35">
      <c r="A60" s="1"/>
      <c r="B60" s="97" t="s">
        <v>56</v>
      </c>
      <c r="C60" s="9"/>
      <c r="D60" s="9"/>
      <c r="E60" s="9"/>
      <c r="F60" s="10"/>
      <c r="G60" s="11"/>
      <c r="H60" s="11"/>
      <c r="I60" s="12">
        <f t="shared" si="16"/>
        <v>0</v>
      </c>
      <c r="J60" s="12">
        <f t="shared" si="17"/>
        <v>0</v>
      </c>
      <c r="K60" s="12">
        <f t="shared" si="18"/>
        <v>0</v>
      </c>
      <c r="L60" s="12">
        <f t="shared" si="19"/>
        <v>0</v>
      </c>
      <c r="M60" s="12">
        <f t="shared" si="20"/>
        <v>0</v>
      </c>
      <c r="N60" s="59"/>
      <c r="O60" s="59"/>
      <c r="P60" s="59"/>
      <c r="Q60" s="59"/>
      <c r="R60" s="59"/>
      <c r="S60" s="59"/>
      <c r="T60" s="59"/>
      <c r="U60" s="59"/>
      <c r="V60" s="59"/>
      <c r="W60" s="59"/>
      <c r="X60" s="59"/>
      <c r="Y60" s="98"/>
    </row>
    <row r="61" spans="1:25" s="60" customFormat="1" ht="14.25" customHeight="1" x14ac:dyDescent="0.35">
      <c r="A61" s="1"/>
      <c r="B61" s="97" t="s">
        <v>124</v>
      </c>
      <c r="C61" s="9"/>
      <c r="D61" s="9"/>
      <c r="E61" s="9"/>
      <c r="F61" s="10"/>
      <c r="G61" s="11"/>
      <c r="H61" s="11"/>
      <c r="I61" s="12">
        <f t="shared" si="16"/>
        <v>0</v>
      </c>
      <c r="J61" s="12">
        <f t="shared" si="17"/>
        <v>0</v>
      </c>
      <c r="K61" s="12">
        <f t="shared" si="18"/>
        <v>0</v>
      </c>
      <c r="L61" s="12">
        <f t="shared" si="19"/>
        <v>0</v>
      </c>
      <c r="M61" s="12">
        <f t="shared" si="20"/>
        <v>0</v>
      </c>
      <c r="N61" s="59"/>
      <c r="O61" s="59"/>
      <c r="P61" s="59"/>
      <c r="Q61" s="59"/>
      <c r="R61" s="59"/>
      <c r="S61" s="59"/>
      <c r="T61" s="59"/>
      <c r="U61" s="59"/>
      <c r="V61" s="59"/>
      <c r="W61" s="59"/>
      <c r="X61" s="59"/>
      <c r="Y61" s="98"/>
    </row>
    <row r="62" spans="1:25" s="60" customFormat="1" ht="14.25" customHeight="1" x14ac:dyDescent="0.35">
      <c r="A62" s="1"/>
      <c r="B62" s="97" t="s">
        <v>125</v>
      </c>
      <c r="C62" s="9"/>
      <c r="D62" s="9"/>
      <c r="E62" s="9"/>
      <c r="F62" s="10"/>
      <c r="G62" s="11"/>
      <c r="H62" s="11"/>
      <c r="I62" s="12">
        <f t="shared" si="16"/>
        <v>0</v>
      </c>
      <c r="J62" s="12">
        <f t="shared" si="17"/>
        <v>0</v>
      </c>
      <c r="K62" s="12">
        <f t="shared" si="18"/>
        <v>0</v>
      </c>
      <c r="L62" s="12">
        <f t="shared" si="19"/>
        <v>0</v>
      </c>
      <c r="M62" s="12">
        <f t="shared" si="20"/>
        <v>0</v>
      </c>
      <c r="N62" s="59"/>
      <c r="O62" s="59"/>
      <c r="P62" s="59"/>
      <c r="Q62" s="59"/>
      <c r="R62" s="59"/>
      <c r="S62" s="59"/>
      <c r="T62" s="59"/>
      <c r="U62" s="59"/>
      <c r="V62" s="59"/>
      <c r="W62" s="59"/>
      <c r="X62" s="59"/>
      <c r="Y62" s="98"/>
    </row>
    <row r="63" spans="1:25" s="18" customFormat="1" ht="15.5" x14ac:dyDescent="0.35">
      <c r="A63" s="1"/>
      <c r="B63" s="193" t="s">
        <v>57</v>
      </c>
      <c r="C63" s="137"/>
      <c r="D63" s="138"/>
      <c r="E63" s="6"/>
      <c r="F63" s="7"/>
      <c r="G63" s="8"/>
      <c r="H63" s="8">
        <f t="shared" ref="H63:Y63" si="26">SUM(H64:H75)</f>
        <v>1</v>
      </c>
      <c r="I63" s="8">
        <f t="shared" si="26"/>
        <v>601</v>
      </c>
      <c r="J63" s="8">
        <f t="shared" si="26"/>
        <v>43.572499999999998</v>
      </c>
      <c r="K63" s="8">
        <f t="shared" si="26"/>
        <v>32.228625000000001</v>
      </c>
      <c r="L63" s="8">
        <f t="shared" si="26"/>
        <v>676.80112499999996</v>
      </c>
      <c r="M63" s="8">
        <f t="shared" si="26"/>
        <v>676.80112499999996</v>
      </c>
      <c r="N63" s="8">
        <f t="shared" si="26"/>
        <v>676.80112499999996</v>
      </c>
      <c r="O63" s="8">
        <f t="shared" si="26"/>
        <v>0</v>
      </c>
      <c r="P63" s="8">
        <f t="shared" si="26"/>
        <v>0</v>
      </c>
      <c r="Q63" s="8">
        <f t="shared" si="26"/>
        <v>0</v>
      </c>
      <c r="R63" s="8">
        <f t="shared" si="26"/>
        <v>0</v>
      </c>
      <c r="S63" s="8">
        <f t="shared" si="26"/>
        <v>0</v>
      </c>
      <c r="T63" s="8">
        <f t="shared" si="26"/>
        <v>0</v>
      </c>
      <c r="U63" s="8">
        <f t="shared" si="26"/>
        <v>0</v>
      </c>
      <c r="V63" s="8">
        <f t="shared" si="26"/>
        <v>0</v>
      </c>
      <c r="W63" s="8">
        <f t="shared" si="26"/>
        <v>0</v>
      </c>
      <c r="X63" s="8">
        <f t="shared" si="26"/>
        <v>0</v>
      </c>
      <c r="Y63" s="96">
        <f t="shared" si="26"/>
        <v>0</v>
      </c>
    </row>
    <row r="64" spans="1:25" s="60" customFormat="1" ht="14.25" customHeight="1" x14ac:dyDescent="0.35">
      <c r="A64" s="1"/>
      <c r="B64" s="97" t="s">
        <v>58</v>
      </c>
      <c r="C64" s="9" t="s">
        <v>101</v>
      </c>
      <c r="D64" s="9" t="s">
        <v>102</v>
      </c>
      <c r="E64" s="9" t="s">
        <v>110</v>
      </c>
      <c r="F64" s="10">
        <v>2</v>
      </c>
      <c r="G64" s="11">
        <v>300</v>
      </c>
      <c r="H64" s="11">
        <v>1</v>
      </c>
      <c r="I64" s="12">
        <f t="shared" ref="I64" si="27">(F64*G64)+H64</f>
        <v>601</v>
      </c>
      <c r="J64" s="12">
        <f t="shared" ref="J64" si="28">I64*$D$20</f>
        <v>43.572499999999998</v>
      </c>
      <c r="K64" s="12">
        <f t="shared" ref="K64" si="29">SUM(I64:J64)*5%</f>
        <v>32.228625000000001</v>
      </c>
      <c r="L64" s="12">
        <f t="shared" ref="L64" si="30">SUM(I64:K64)</f>
        <v>676.80112499999996</v>
      </c>
      <c r="M64" s="12">
        <f t="shared" ref="M64" si="31">SUM(N64, O64,P64,Q64,R64,S64,T64,U64,V64,W64,X64,Y64)</f>
        <v>676.80112499999996</v>
      </c>
      <c r="N64" s="59">
        <f>L64</f>
        <v>676.80112499999996</v>
      </c>
      <c r="O64" s="59"/>
      <c r="P64" s="59"/>
      <c r="Q64" s="59"/>
      <c r="R64" s="59"/>
      <c r="S64" s="59"/>
      <c r="T64" s="59"/>
      <c r="U64" s="59"/>
      <c r="V64" s="59"/>
      <c r="W64" s="59"/>
      <c r="X64" s="59"/>
      <c r="Y64" s="98"/>
    </row>
    <row r="65" spans="1:25" s="60" customFormat="1" ht="14.25" customHeight="1" x14ac:dyDescent="0.35">
      <c r="A65" s="1"/>
      <c r="B65" s="97" t="s">
        <v>59</v>
      </c>
      <c r="C65" s="9"/>
      <c r="D65" s="9"/>
      <c r="E65" s="9"/>
      <c r="F65" s="10"/>
      <c r="G65" s="11"/>
      <c r="H65" s="11"/>
      <c r="I65" s="12">
        <f t="shared" ref="I65:I68" si="32">(F65*G65)+H65</f>
        <v>0</v>
      </c>
      <c r="J65" s="12">
        <f t="shared" ref="J65:J75" si="33">I65*$D$20</f>
        <v>0</v>
      </c>
      <c r="K65" s="12">
        <f t="shared" ref="K65:K75" si="34">SUM(I65:J65)*5%</f>
        <v>0</v>
      </c>
      <c r="L65" s="12">
        <f t="shared" ref="L65:L75" si="35">SUM(I65:K65)</f>
        <v>0</v>
      </c>
      <c r="M65" s="12">
        <f t="shared" ref="M65:M75" si="36">SUM(N65, O65,P65,Q65,R65,S65,T65,U65,V65,W65,X65,Y65)</f>
        <v>0</v>
      </c>
      <c r="N65" s="59"/>
      <c r="O65" s="59"/>
      <c r="P65" s="59"/>
      <c r="Q65" s="59"/>
      <c r="R65" s="59"/>
      <c r="S65" s="59"/>
      <c r="T65" s="59"/>
      <c r="U65" s="59"/>
      <c r="V65" s="59"/>
      <c r="W65" s="59"/>
      <c r="X65" s="59"/>
      <c r="Y65" s="98"/>
    </row>
    <row r="66" spans="1:25" s="60" customFormat="1" ht="14.25" customHeight="1" x14ac:dyDescent="0.35">
      <c r="A66" s="1"/>
      <c r="B66" s="97" t="s">
        <v>60</v>
      </c>
      <c r="C66" s="9"/>
      <c r="D66" s="9"/>
      <c r="E66" s="9"/>
      <c r="F66" s="10"/>
      <c r="G66" s="11"/>
      <c r="H66" s="11"/>
      <c r="I66" s="12">
        <f t="shared" si="32"/>
        <v>0</v>
      </c>
      <c r="J66" s="12">
        <f t="shared" si="33"/>
        <v>0</v>
      </c>
      <c r="K66" s="12">
        <f t="shared" si="34"/>
        <v>0</v>
      </c>
      <c r="L66" s="12">
        <f t="shared" si="35"/>
        <v>0</v>
      </c>
      <c r="M66" s="12">
        <f t="shared" si="36"/>
        <v>0</v>
      </c>
      <c r="N66" s="59"/>
      <c r="O66" s="59"/>
      <c r="P66" s="59"/>
      <c r="Q66" s="59"/>
      <c r="R66" s="59"/>
      <c r="S66" s="59"/>
      <c r="T66" s="59"/>
      <c r="U66" s="59"/>
      <c r="V66" s="59"/>
      <c r="W66" s="59"/>
      <c r="X66" s="59"/>
      <c r="Y66" s="98"/>
    </row>
    <row r="67" spans="1:25" s="60" customFormat="1" ht="14.25" customHeight="1" x14ac:dyDescent="0.35">
      <c r="A67" s="1"/>
      <c r="B67" s="97" t="s">
        <v>61</v>
      </c>
      <c r="C67" s="9"/>
      <c r="D67" s="9"/>
      <c r="E67" s="9"/>
      <c r="F67" s="10"/>
      <c r="G67" s="11"/>
      <c r="H67" s="11"/>
      <c r="I67" s="12">
        <f t="shared" si="32"/>
        <v>0</v>
      </c>
      <c r="J67" s="12">
        <f t="shared" si="33"/>
        <v>0</v>
      </c>
      <c r="K67" s="12">
        <f t="shared" si="34"/>
        <v>0</v>
      </c>
      <c r="L67" s="12">
        <f t="shared" si="35"/>
        <v>0</v>
      </c>
      <c r="M67" s="12">
        <f t="shared" si="36"/>
        <v>0</v>
      </c>
      <c r="N67" s="59"/>
      <c r="O67" s="59"/>
      <c r="P67" s="59"/>
      <c r="Q67" s="59"/>
      <c r="R67" s="59"/>
      <c r="S67" s="59"/>
      <c r="T67" s="59"/>
      <c r="U67" s="59"/>
      <c r="V67" s="59"/>
      <c r="W67" s="59"/>
      <c r="X67" s="59"/>
      <c r="Y67" s="98"/>
    </row>
    <row r="68" spans="1:25" s="61" customFormat="1" ht="14.25" customHeight="1" x14ac:dyDescent="0.35">
      <c r="A68" s="1"/>
      <c r="B68" s="97" t="s">
        <v>62</v>
      </c>
      <c r="C68" s="9"/>
      <c r="D68" s="9"/>
      <c r="E68" s="9"/>
      <c r="F68" s="10"/>
      <c r="G68" s="11"/>
      <c r="H68" s="11"/>
      <c r="I68" s="12">
        <f t="shared" si="32"/>
        <v>0</v>
      </c>
      <c r="J68" s="12">
        <f t="shared" si="33"/>
        <v>0</v>
      </c>
      <c r="K68" s="12">
        <f t="shared" si="34"/>
        <v>0</v>
      </c>
      <c r="L68" s="12">
        <f t="shared" si="35"/>
        <v>0</v>
      </c>
      <c r="M68" s="12">
        <f t="shared" si="36"/>
        <v>0</v>
      </c>
      <c r="N68" s="59"/>
      <c r="O68" s="59"/>
      <c r="P68" s="59"/>
      <c r="Q68" s="59"/>
      <c r="R68" s="59"/>
      <c r="S68" s="59"/>
      <c r="T68" s="59"/>
      <c r="U68" s="59"/>
      <c r="V68" s="59"/>
      <c r="W68" s="59"/>
      <c r="X68" s="59"/>
      <c r="Y68" s="98"/>
    </row>
    <row r="69" spans="1:25" s="60" customFormat="1" ht="14.25" customHeight="1" x14ac:dyDescent="0.35">
      <c r="A69" s="1"/>
      <c r="B69" s="97" t="s">
        <v>63</v>
      </c>
      <c r="C69" s="9"/>
      <c r="D69" s="9"/>
      <c r="E69" s="9"/>
      <c r="F69" s="10"/>
      <c r="G69" s="11"/>
      <c r="H69" s="11"/>
      <c r="I69" s="12">
        <f t="shared" ref="I69:I75" si="37">(F69*G69)+H69</f>
        <v>0</v>
      </c>
      <c r="J69" s="12">
        <f t="shared" si="33"/>
        <v>0</v>
      </c>
      <c r="K69" s="12">
        <f t="shared" si="34"/>
        <v>0</v>
      </c>
      <c r="L69" s="12">
        <f t="shared" si="35"/>
        <v>0</v>
      </c>
      <c r="M69" s="12">
        <f t="shared" si="36"/>
        <v>0</v>
      </c>
      <c r="N69" s="59"/>
      <c r="O69" s="59"/>
      <c r="P69" s="59"/>
      <c r="Q69" s="59"/>
      <c r="R69" s="59"/>
      <c r="S69" s="59"/>
      <c r="T69" s="59"/>
      <c r="U69" s="59"/>
      <c r="V69" s="59"/>
      <c r="W69" s="59"/>
      <c r="X69" s="59"/>
      <c r="Y69" s="98"/>
    </row>
    <row r="70" spans="1:25" s="60" customFormat="1" ht="14.25" customHeight="1" x14ac:dyDescent="0.35">
      <c r="A70" s="1"/>
      <c r="B70" s="97" t="s">
        <v>64</v>
      </c>
      <c r="C70" s="9"/>
      <c r="D70" s="9"/>
      <c r="E70" s="9"/>
      <c r="F70" s="10"/>
      <c r="G70" s="11"/>
      <c r="H70" s="11"/>
      <c r="I70" s="12">
        <f t="shared" si="37"/>
        <v>0</v>
      </c>
      <c r="J70" s="12">
        <f t="shared" si="33"/>
        <v>0</v>
      </c>
      <c r="K70" s="12">
        <f t="shared" si="34"/>
        <v>0</v>
      </c>
      <c r="L70" s="12">
        <f t="shared" si="35"/>
        <v>0</v>
      </c>
      <c r="M70" s="12">
        <f t="shared" si="36"/>
        <v>0</v>
      </c>
      <c r="N70" s="59"/>
      <c r="O70" s="59"/>
      <c r="P70" s="59"/>
      <c r="Q70" s="59"/>
      <c r="R70" s="59"/>
      <c r="S70" s="59"/>
      <c r="T70" s="59"/>
      <c r="U70" s="59"/>
      <c r="V70" s="59"/>
      <c r="W70" s="59"/>
      <c r="X70" s="59"/>
      <c r="Y70" s="98"/>
    </row>
    <row r="71" spans="1:25" s="60" customFormat="1" ht="14.25" customHeight="1" x14ac:dyDescent="0.35">
      <c r="A71" s="1"/>
      <c r="B71" s="97" t="s">
        <v>65</v>
      </c>
      <c r="C71" s="9"/>
      <c r="D71" s="9"/>
      <c r="E71" s="9"/>
      <c r="F71" s="10"/>
      <c r="G71" s="11"/>
      <c r="H71" s="11"/>
      <c r="I71" s="12">
        <f t="shared" ref="I71:I72" si="38">(F71*G71)+H71</f>
        <v>0</v>
      </c>
      <c r="J71" s="12">
        <f t="shared" ref="J71:J72" si="39">I71*$D$20</f>
        <v>0</v>
      </c>
      <c r="K71" s="12">
        <f t="shared" ref="K71:K72" si="40">SUM(I71:J71)*5%</f>
        <v>0</v>
      </c>
      <c r="L71" s="12">
        <f t="shared" ref="L71:L72" si="41">SUM(I71:K71)</f>
        <v>0</v>
      </c>
      <c r="M71" s="12">
        <f t="shared" ref="M71:M72" si="42">SUM(N71, O71,P71,Q71,R71,S71,T71,U71,V71,W71,X71,Y71)</f>
        <v>0</v>
      </c>
      <c r="N71" s="59"/>
      <c r="O71" s="59"/>
      <c r="P71" s="59"/>
      <c r="Q71" s="59"/>
      <c r="R71" s="59"/>
      <c r="S71" s="59"/>
      <c r="T71" s="59"/>
      <c r="U71" s="59"/>
      <c r="V71" s="59"/>
      <c r="W71" s="59"/>
      <c r="X71" s="59"/>
      <c r="Y71" s="98"/>
    </row>
    <row r="72" spans="1:25" s="60" customFormat="1" ht="14.25" customHeight="1" x14ac:dyDescent="0.35">
      <c r="A72" s="1"/>
      <c r="B72" s="97" t="s">
        <v>66</v>
      </c>
      <c r="C72" s="9"/>
      <c r="D72" s="9"/>
      <c r="E72" s="9"/>
      <c r="F72" s="10"/>
      <c r="G72" s="11"/>
      <c r="H72" s="11"/>
      <c r="I72" s="12">
        <f t="shared" si="38"/>
        <v>0</v>
      </c>
      <c r="J72" s="12">
        <f t="shared" si="39"/>
        <v>0</v>
      </c>
      <c r="K72" s="12">
        <f t="shared" si="40"/>
        <v>0</v>
      </c>
      <c r="L72" s="12">
        <f t="shared" si="41"/>
        <v>0</v>
      </c>
      <c r="M72" s="12">
        <f t="shared" si="42"/>
        <v>0</v>
      </c>
      <c r="N72" s="59"/>
      <c r="O72" s="59"/>
      <c r="P72" s="59"/>
      <c r="Q72" s="59"/>
      <c r="R72" s="59"/>
      <c r="S72" s="59"/>
      <c r="T72" s="59"/>
      <c r="U72" s="59"/>
      <c r="V72" s="59"/>
      <c r="W72" s="59"/>
      <c r="X72" s="59"/>
      <c r="Y72" s="98"/>
    </row>
    <row r="73" spans="1:25" s="60" customFormat="1" ht="14.25" customHeight="1" x14ac:dyDescent="0.35">
      <c r="A73" s="1"/>
      <c r="B73" s="97" t="s">
        <v>67</v>
      </c>
      <c r="C73" s="9"/>
      <c r="D73" s="9"/>
      <c r="E73" s="9"/>
      <c r="F73" s="10"/>
      <c r="G73" s="11"/>
      <c r="H73" s="11"/>
      <c r="I73" s="12">
        <f t="shared" si="37"/>
        <v>0</v>
      </c>
      <c r="J73" s="12">
        <f t="shared" si="33"/>
        <v>0</v>
      </c>
      <c r="K73" s="12">
        <f t="shared" si="34"/>
        <v>0</v>
      </c>
      <c r="L73" s="12">
        <f t="shared" si="35"/>
        <v>0</v>
      </c>
      <c r="M73" s="12">
        <f t="shared" si="36"/>
        <v>0</v>
      </c>
      <c r="N73" s="59"/>
      <c r="O73" s="59"/>
      <c r="P73" s="59"/>
      <c r="Q73" s="59"/>
      <c r="R73" s="59"/>
      <c r="S73" s="59"/>
      <c r="T73" s="59"/>
      <c r="U73" s="59"/>
      <c r="V73" s="59"/>
      <c r="W73" s="59"/>
      <c r="X73" s="59"/>
      <c r="Y73" s="98"/>
    </row>
    <row r="74" spans="1:25" s="60" customFormat="1" ht="14.25" customHeight="1" x14ac:dyDescent="0.35">
      <c r="A74" s="1"/>
      <c r="B74" s="97" t="s">
        <v>126</v>
      </c>
      <c r="C74" s="9"/>
      <c r="D74" s="9"/>
      <c r="E74" s="9"/>
      <c r="F74" s="10"/>
      <c r="G74" s="11"/>
      <c r="H74" s="11"/>
      <c r="I74" s="12">
        <f t="shared" si="37"/>
        <v>0</v>
      </c>
      <c r="J74" s="12">
        <f t="shared" si="33"/>
        <v>0</v>
      </c>
      <c r="K74" s="12">
        <f t="shared" si="34"/>
        <v>0</v>
      </c>
      <c r="L74" s="12">
        <f t="shared" si="35"/>
        <v>0</v>
      </c>
      <c r="M74" s="12">
        <f t="shared" si="36"/>
        <v>0</v>
      </c>
      <c r="N74" s="59"/>
      <c r="O74" s="59"/>
      <c r="P74" s="59"/>
      <c r="Q74" s="59"/>
      <c r="R74" s="59"/>
      <c r="S74" s="59"/>
      <c r="T74" s="59"/>
      <c r="U74" s="59"/>
      <c r="V74" s="59"/>
      <c r="W74" s="59"/>
      <c r="X74" s="59"/>
      <c r="Y74" s="98"/>
    </row>
    <row r="75" spans="1:25" s="60" customFormat="1" ht="14.25" customHeight="1" x14ac:dyDescent="0.35">
      <c r="A75" s="1"/>
      <c r="B75" s="97" t="s">
        <v>127</v>
      </c>
      <c r="C75" s="9"/>
      <c r="D75" s="9"/>
      <c r="E75" s="9"/>
      <c r="F75" s="10"/>
      <c r="G75" s="11"/>
      <c r="H75" s="11"/>
      <c r="I75" s="12">
        <f t="shared" si="37"/>
        <v>0</v>
      </c>
      <c r="J75" s="12">
        <f t="shared" si="33"/>
        <v>0</v>
      </c>
      <c r="K75" s="12">
        <f t="shared" si="34"/>
        <v>0</v>
      </c>
      <c r="L75" s="12">
        <f t="shared" si="35"/>
        <v>0</v>
      </c>
      <c r="M75" s="12">
        <f t="shared" si="36"/>
        <v>0</v>
      </c>
      <c r="N75" s="59"/>
      <c r="O75" s="59"/>
      <c r="P75" s="59"/>
      <c r="Q75" s="59"/>
      <c r="R75" s="59"/>
      <c r="S75" s="59"/>
      <c r="T75" s="59"/>
      <c r="U75" s="59"/>
      <c r="V75" s="59"/>
      <c r="W75" s="59"/>
      <c r="X75" s="59"/>
      <c r="Y75" s="98"/>
    </row>
    <row r="76" spans="1:25" s="18" customFormat="1" ht="15.5" x14ac:dyDescent="0.35">
      <c r="A76" s="1"/>
      <c r="B76" s="193" t="s">
        <v>68</v>
      </c>
      <c r="C76" s="137"/>
      <c r="D76" s="138"/>
      <c r="E76" s="6"/>
      <c r="F76" s="7"/>
      <c r="G76" s="8"/>
      <c r="H76" s="8">
        <f t="shared" ref="H76:Y76" si="43">SUM(H77:H88)</f>
        <v>1</v>
      </c>
      <c r="I76" s="8">
        <f t="shared" si="43"/>
        <v>6001</v>
      </c>
      <c r="J76" s="8">
        <f t="shared" si="43"/>
        <v>435.07249999999999</v>
      </c>
      <c r="K76" s="8">
        <f t="shared" si="43"/>
        <v>321.80362500000001</v>
      </c>
      <c r="L76" s="8">
        <f t="shared" si="43"/>
        <v>6757.8761250000007</v>
      </c>
      <c r="M76" s="8">
        <f t="shared" si="43"/>
        <v>6757.8761250000007</v>
      </c>
      <c r="N76" s="8">
        <f t="shared" si="43"/>
        <v>6757.8761250000007</v>
      </c>
      <c r="O76" s="8">
        <f t="shared" si="43"/>
        <v>0</v>
      </c>
      <c r="P76" s="8">
        <f t="shared" si="43"/>
        <v>0</v>
      </c>
      <c r="Q76" s="8">
        <f t="shared" si="43"/>
        <v>0</v>
      </c>
      <c r="R76" s="8">
        <f t="shared" si="43"/>
        <v>0</v>
      </c>
      <c r="S76" s="8">
        <f t="shared" si="43"/>
        <v>0</v>
      </c>
      <c r="T76" s="8">
        <f t="shared" si="43"/>
        <v>0</v>
      </c>
      <c r="U76" s="8">
        <f t="shared" si="43"/>
        <v>0</v>
      </c>
      <c r="V76" s="8">
        <f t="shared" si="43"/>
        <v>0</v>
      </c>
      <c r="W76" s="8">
        <f t="shared" si="43"/>
        <v>0</v>
      </c>
      <c r="X76" s="8">
        <f t="shared" si="43"/>
        <v>0</v>
      </c>
      <c r="Y76" s="96">
        <f t="shared" si="43"/>
        <v>0</v>
      </c>
    </row>
    <row r="77" spans="1:25" s="60" customFormat="1" ht="14.25" customHeight="1" x14ac:dyDescent="0.35">
      <c r="A77" s="1"/>
      <c r="B77" s="97" t="s">
        <v>69</v>
      </c>
      <c r="C77" s="9" t="s">
        <v>101</v>
      </c>
      <c r="D77" s="9" t="s">
        <v>102</v>
      </c>
      <c r="E77" s="9" t="s">
        <v>111</v>
      </c>
      <c r="F77" s="10">
        <v>2</v>
      </c>
      <c r="G77" s="11">
        <v>3000</v>
      </c>
      <c r="H77" s="11">
        <v>1</v>
      </c>
      <c r="I77" s="12">
        <f t="shared" ref="I77" si="44">(F77*G77)+H77</f>
        <v>6001</v>
      </c>
      <c r="J77" s="12">
        <f t="shared" ref="J77" si="45">I77*$D$20</f>
        <v>435.07249999999999</v>
      </c>
      <c r="K77" s="12">
        <f t="shared" ref="K77" si="46">SUM(I77:J77)*5%</f>
        <v>321.80362500000001</v>
      </c>
      <c r="L77" s="12">
        <f t="shared" ref="L77" si="47">SUM(I77:K77)</f>
        <v>6757.8761250000007</v>
      </c>
      <c r="M77" s="12">
        <f t="shared" ref="M77" si="48">SUM(N77, O77,P77,Q77,R77,S77,T77,U77,V77,W77,X77,Y77)</f>
        <v>6757.8761250000007</v>
      </c>
      <c r="N77" s="59">
        <f>L77</f>
        <v>6757.8761250000007</v>
      </c>
      <c r="O77" s="59"/>
      <c r="P77" s="59"/>
      <c r="Q77" s="59"/>
      <c r="R77" s="59"/>
      <c r="S77" s="59"/>
      <c r="T77" s="59"/>
      <c r="U77" s="59"/>
      <c r="V77" s="59"/>
      <c r="W77" s="59"/>
      <c r="X77" s="59"/>
      <c r="Y77" s="98"/>
    </row>
    <row r="78" spans="1:25" s="60" customFormat="1" ht="14.25" customHeight="1" x14ac:dyDescent="0.35">
      <c r="A78" s="1"/>
      <c r="B78" s="97" t="s">
        <v>70</v>
      </c>
      <c r="C78" s="9"/>
      <c r="D78" s="9"/>
      <c r="E78" s="9"/>
      <c r="F78" s="10"/>
      <c r="G78" s="11"/>
      <c r="H78" s="11"/>
      <c r="I78" s="12">
        <f t="shared" ref="I78:I88" si="49">(F78*G78)+H78</f>
        <v>0</v>
      </c>
      <c r="J78" s="12">
        <f t="shared" ref="J78:J88" si="50">I78*$D$20</f>
        <v>0</v>
      </c>
      <c r="K78" s="12">
        <f t="shared" ref="K78:K88" si="51">SUM(I78:J78)*5%</f>
        <v>0</v>
      </c>
      <c r="L78" s="12">
        <f t="shared" ref="L78:L88" si="52">SUM(I78:K78)</f>
        <v>0</v>
      </c>
      <c r="M78" s="12">
        <f t="shared" ref="M78:M88" si="53">SUM(N78, O78,P78,Q78,R78,S78,T78,U78,V78,W78,X78,Y78)</f>
        <v>0</v>
      </c>
      <c r="N78" s="59"/>
      <c r="O78" s="59"/>
      <c r="P78" s="59"/>
      <c r="Q78" s="59"/>
      <c r="R78" s="59"/>
      <c r="S78" s="59"/>
      <c r="T78" s="59"/>
      <c r="U78" s="59"/>
      <c r="V78" s="59"/>
      <c r="W78" s="59"/>
      <c r="X78" s="59"/>
      <c r="Y78" s="98"/>
    </row>
    <row r="79" spans="1:25" s="60" customFormat="1" ht="14.25" customHeight="1" x14ac:dyDescent="0.35">
      <c r="A79" s="1"/>
      <c r="B79" s="97" t="s">
        <v>71</v>
      </c>
      <c r="C79" s="9"/>
      <c r="D79" s="9"/>
      <c r="E79" s="9"/>
      <c r="F79" s="10"/>
      <c r="G79" s="11"/>
      <c r="H79" s="11"/>
      <c r="I79" s="12">
        <f t="shared" si="49"/>
        <v>0</v>
      </c>
      <c r="J79" s="12">
        <f t="shared" si="50"/>
        <v>0</v>
      </c>
      <c r="K79" s="12">
        <f t="shared" si="51"/>
        <v>0</v>
      </c>
      <c r="L79" s="12">
        <f t="shared" si="52"/>
        <v>0</v>
      </c>
      <c r="M79" s="12">
        <f t="shared" si="53"/>
        <v>0</v>
      </c>
      <c r="N79" s="59"/>
      <c r="O79" s="59"/>
      <c r="P79" s="59"/>
      <c r="Q79" s="59"/>
      <c r="R79" s="59"/>
      <c r="S79" s="59"/>
      <c r="T79" s="59"/>
      <c r="U79" s="59"/>
      <c r="V79" s="59"/>
      <c r="W79" s="59"/>
      <c r="X79" s="59"/>
      <c r="Y79" s="98"/>
    </row>
    <row r="80" spans="1:25" s="60" customFormat="1" ht="14.25" customHeight="1" x14ac:dyDescent="0.35">
      <c r="A80" s="1"/>
      <c r="B80" s="97" t="s">
        <v>72</v>
      </c>
      <c r="C80" s="9"/>
      <c r="D80" s="9"/>
      <c r="E80" s="9"/>
      <c r="F80" s="10"/>
      <c r="G80" s="11"/>
      <c r="H80" s="11"/>
      <c r="I80" s="12">
        <f t="shared" si="49"/>
        <v>0</v>
      </c>
      <c r="J80" s="12">
        <f t="shared" si="50"/>
        <v>0</v>
      </c>
      <c r="K80" s="12">
        <f t="shared" si="51"/>
        <v>0</v>
      </c>
      <c r="L80" s="12">
        <f t="shared" si="52"/>
        <v>0</v>
      </c>
      <c r="M80" s="12">
        <f t="shared" si="53"/>
        <v>0</v>
      </c>
      <c r="N80" s="59"/>
      <c r="O80" s="59"/>
      <c r="P80" s="59"/>
      <c r="Q80" s="59"/>
      <c r="R80" s="59"/>
      <c r="S80" s="59"/>
      <c r="T80" s="59"/>
      <c r="U80" s="59"/>
      <c r="V80" s="59"/>
      <c r="W80" s="59"/>
      <c r="X80" s="59"/>
      <c r="Y80" s="98"/>
    </row>
    <row r="81" spans="1:25" s="60" customFormat="1" ht="14.25" customHeight="1" x14ac:dyDescent="0.35">
      <c r="A81" s="1"/>
      <c r="B81" s="97" t="s">
        <v>73</v>
      </c>
      <c r="C81" s="9"/>
      <c r="D81" s="9"/>
      <c r="E81" s="9"/>
      <c r="F81" s="10"/>
      <c r="G81" s="11"/>
      <c r="H81" s="11"/>
      <c r="I81" s="12">
        <f t="shared" ref="I81:I82" si="54">(F81*G81)+H81</f>
        <v>0</v>
      </c>
      <c r="J81" s="12">
        <f t="shared" ref="J81:J82" si="55">I81*$D$20</f>
        <v>0</v>
      </c>
      <c r="K81" s="12">
        <f t="shared" ref="K81:K82" si="56">SUM(I81:J81)*5%</f>
        <v>0</v>
      </c>
      <c r="L81" s="12">
        <f t="shared" ref="L81:L82" si="57">SUM(I81:K81)</f>
        <v>0</v>
      </c>
      <c r="M81" s="12">
        <f t="shared" ref="M81:M82" si="58">SUM(N81, O81,P81,Q81,R81,S81,T81,U81,V81,W81,X81,Y81)</f>
        <v>0</v>
      </c>
      <c r="N81" s="59"/>
      <c r="O81" s="59"/>
      <c r="P81" s="59"/>
      <c r="Q81" s="59"/>
      <c r="R81" s="59"/>
      <c r="S81" s="59"/>
      <c r="T81" s="59"/>
      <c r="U81" s="59"/>
      <c r="V81" s="59"/>
      <c r="W81" s="59"/>
      <c r="X81" s="59"/>
      <c r="Y81" s="98"/>
    </row>
    <row r="82" spans="1:25" s="60" customFormat="1" ht="14.25" customHeight="1" x14ac:dyDescent="0.35">
      <c r="A82" s="1"/>
      <c r="B82" s="97" t="s">
        <v>74</v>
      </c>
      <c r="C82" s="9"/>
      <c r="D82" s="9"/>
      <c r="E82" s="9"/>
      <c r="F82" s="10"/>
      <c r="G82" s="11"/>
      <c r="H82" s="11"/>
      <c r="I82" s="12">
        <f t="shared" si="54"/>
        <v>0</v>
      </c>
      <c r="J82" s="12">
        <f t="shared" si="55"/>
        <v>0</v>
      </c>
      <c r="K82" s="12">
        <f t="shared" si="56"/>
        <v>0</v>
      </c>
      <c r="L82" s="12">
        <f t="shared" si="57"/>
        <v>0</v>
      </c>
      <c r="M82" s="12">
        <f t="shared" si="58"/>
        <v>0</v>
      </c>
      <c r="N82" s="59"/>
      <c r="O82" s="59"/>
      <c r="P82" s="59"/>
      <c r="Q82" s="59"/>
      <c r="R82" s="59"/>
      <c r="S82" s="59"/>
      <c r="T82" s="59"/>
      <c r="U82" s="59"/>
      <c r="V82" s="59"/>
      <c r="W82" s="59"/>
      <c r="X82" s="59"/>
      <c r="Y82" s="98"/>
    </row>
    <row r="83" spans="1:25" s="60" customFormat="1" ht="14.25" customHeight="1" x14ac:dyDescent="0.35">
      <c r="A83" s="1"/>
      <c r="B83" s="97" t="s">
        <v>75</v>
      </c>
      <c r="C83" s="9"/>
      <c r="D83" s="9"/>
      <c r="E83" s="9"/>
      <c r="F83" s="10"/>
      <c r="G83" s="11"/>
      <c r="H83" s="11"/>
      <c r="I83" s="12">
        <f t="shared" si="49"/>
        <v>0</v>
      </c>
      <c r="J83" s="12">
        <f t="shared" si="50"/>
        <v>0</v>
      </c>
      <c r="K83" s="12">
        <f t="shared" si="51"/>
        <v>0</v>
      </c>
      <c r="L83" s="12">
        <f t="shared" si="52"/>
        <v>0</v>
      </c>
      <c r="M83" s="12">
        <f t="shared" si="53"/>
        <v>0</v>
      </c>
      <c r="N83" s="59"/>
      <c r="O83" s="59"/>
      <c r="P83" s="59"/>
      <c r="Q83" s="59"/>
      <c r="R83" s="59"/>
      <c r="S83" s="59"/>
      <c r="T83" s="59"/>
      <c r="U83" s="59"/>
      <c r="V83" s="59"/>
      <c r="W83" s="59"/>
      <c r="X83" s="59"/>
      <c r="Y83" s="98"/>
    </row>
    <row r="84" spans="1:25" s="60" customFormat="1" ht="14.25" customHeight="1" x14ac:dyDescent="0.35">
      <c r="A84" s="1"/>
      <c r="B84" s="97" t="s">
        <v>76</v>
      </c>
      <c r="C84" s="9"/>
      <c r="D84" s="9"/>
      <c r="E84" s="9"/>
      <c r="F84" s="10"/>
      <c r="G84" s="11"/>
      <c r="H84" s="11"/>
      <c r="I84" s="12">
        <f t="shared" si="49"/>
        <v>0</v>
      </c>
      <c r="J84" s="12">
        <f t="shared" si="50"/>
        <v>0</v>
      </c>
      <c r="K84" s="12">
        <f t="shared" si="51"/>
        <v>0</v>
      </c>
      <c r="L84" s="12">
        <f t="shared" si="52"/>
        <v>0</v>
      </c>
      <c r="M84" s="12">
        <f t="shared" si="53"/>
        <v>0</v>
      </c>
      <c r="N84" s="59"/>
      <c r="O84" s="59"/>
      <c r="P84" s="59"/>
      <c r="Q84" s="59"/>
      <c r="R84" s="59"/>
      <c r="S84" s="59"/>
      <c r="T84" s="59"/>
      <c r="U84" s="59"/>
      <c r="V84" s="59"/>
      <c r="W84" s="59"/>
      <c r="X84" s="59"/>
      <c r="Y84" s="98"/>
    </row>
    <row r="85" spans="1:25" s="60" customFormat="1" ht="14.25" customHeight="1" x14ac:dyDescent="0.35">
      <c r="A85" s="1"/>
      <c r="B85" s="97" t="s">
        <v>77</v>
      </c>
      <c r="C85" s="9"/>
      <c r="D85" s="9"/>
      <c r="E85" s="9"/>
      <c r="F85" s="10"/>
      <c r="G85" s="11"/>
      <c r="H85" s="11"/>
      <c r="I85" s="12">
        <f t="shared" si="49"/>
        <v>0</v>
      </c>
      <c r="J85" s="12">
        <f t="shared" si="50"/>
        <v>0</v>
      </c>
      <c r="K85" s="12">
        <f t="shared" si="51"/>
        <v>0</v>
      </c>
      <c r="L85" s="12">
        <f t="shared" si="52"/>
        <v>0</v>
      </c>
      <c r="M85" s="12">
        <f t="shared" si="53"/>
        <v>0</v>
      </c>
      <c r="N85" s="59"/>
      <c r="O85" s="59"/>
      <c r="P85" s="59"/>
      <c r="Q85" s="59"/>
      <c r="R85" s="59"/>
      <c r="S85" s="59"/>
      <c r="T85" s="59"/>
      <c r="U85" s="59"/>
      <c r="V85" s="59"/>
      <c r="W85" s="59"/>
      <c r="X85" s="59"/>
      <c r="Y85" s="98"/>
    </row>
    <row r="86" spans="1:25" s="60" customFormat="1" ht="14.25" customHeight="1" x14ac:dyDescent="0.35">
      <c r="A86" s="1"/>
      <c r="B86" s="97" t="s">
        <v>78</v>
      </c>
      <c r="C86" s="9"/>
      <c r="D86" s="9"/>
      <c r="E86" s="9"/>
      <c r="F86" s="10"/>
      <c r="G86" s="11"/>
      <c r="H86" s="11"/>
      <c r="I86" s="12">
        <f t="shared" si="49"/>
        <v>0</v>
      </c>
      <c r="J86" s="12">
        <f t="shared" si="50"/>
        <v>0</v>
      </c>
      <c r="K86" s="12">
        <f t="shared" si="51"/>
        <v>0</v>
      </c>
      <c r="L86" s="12">
        <f t="shared" si="52"/>
        <v>0</v>
      </c>
      <c r="M86" s="12">
        <f t="shared" si="53"/>
        <v>0</v>
      </c>
      <c r="N86" s="59"/>
      <c r="O86" s="59"/>
      <c r="P86" s="59"/>
      <c r="Q86" s="59"/>
      <c r="R86" s="59"/>
      <c r="S86" s="59"/>
      <c r="T86" s="59"/>
      <c r="U86" s="59"/>
      <c r="V86" s="59"/>
      <c r="W86" s="59"/>
      <c r="X86" s="59"/>
      <c r="Y86" s="98"/>
    </row>
    <row r="87" spans="1:25" s="60" customFormat="1" ht="14.25" customHeight="1" x14ac:dyDescent="0.35">
      <c r="A87" s="1"/>
      <c r="B87" s="97" t="s">
        <v>128</v>
      </c>
      <c r="C87" s="9"/>
      <c r="D87" s="9"/>
      <c r="E87" s="9"/>
      <c r="F87" s="10"/>
      <c r="G87" s="11"/>
      <c r="H87" s="11"/>
      <c r="I87" s="12">
        <f t="shared" si="49"/>
        <v>0</v>
      </c>
      <c r="J87" s="12">
        <f t="shared" si="50"/>
        <v>0</v>
      </c>
      <c r="K87" s="12">
        <f t="shared" si="51"/>
        <v>0</v>
      </c>
      <c r="L87" s="12">
        <f t="shared" si="52"/>
        <v>0</v>
      </c>
      <c r="M87" s="12">
        <f t="shared" si="53"/>
        <v>0</v>
      </c>
      <c r="N87" s="59"/>
      <c r="O87" s="59"/>
      <c r="P87" s="59"/>
      <c r="Q87" s="59"/>
      <c r="R87" s="59"/>
      <c r="S87" s="59"/>
      <c r="T87" s="59"/>
      <c r="U87" s="59"/>
      <c r="V87" s="59"/>
      <c r="W87" s="59"/>
      <c r="X87" s="59"/>
      <c r="Y87" s="98"/>
    </row>
    <row r="88" spans="1:25" s="60" customFormat="1" ht="14.25" customHeight="1" x14ac:dyDescent="0.35">
      <c r="A88" s="1"/>
      <c r="B88" s="97" t="s">
        <v>129</v>
      </c>
      <c r="C88" s="9"/>
      <c r="D88" s="9"/>
      <c r="E88" s="9"/>
      <c r="F88" s="10"/>
      <c r="G88" s="11"/>
      <c r="H88" s="11"/>
      <c r="I88" s="12">
        <f t="shared" si="49"/>
        <v>0</v>
      </c>
      <c r="J88" s="12">
        <f t="shared" si="50"/>
        <v>0</v>
      </c>
      <c r="K88" s="12">
        <f t="shared" si="51"/>
        <v>0</v>
      </c>
      <c r="L88" s="12">
        <f t="shared" si="52"/>
        <v>0</v>
      </c>
      <c r="M88" s="12">
        <f t="shared" si="53"/>
        <v>0</v>
      </c>
      <c r="N88" s="59"/>
      <c r="O88" s="59"/>
      <c r="P88" s="59"/>
      <c r="Q88" s="59"/>
      <c r="R88" s="59"/>
      <c r="S88" s="59"/>
      <c r="T88" s="59"/>
      <c r="U88" s="59"/>
      <c r="V88" s="59"/>
      <c r="W88" s="59"/>
      <c r="X88" s="59"/>
      <c r="Y88" s="98"/>
    </row>
    <row r="89" spans="1:25" s="18" customFormat="1" ht="15.5" x14ac:dyDescent="0.35">
      <c r="A89" s="1"/>
      <c r="B89" s="193" t="s">
        <v>79</v>
      </c>
      <c r="C89" s="137"/>
      <c r="D89" s="138"/>
      <c r="E89" s="6"/>
      <c r="F89" s="7"/>
      <c r="G89" s="8"/>
      <c r="H89" s="8">
        <f t="shared" ref="H89:Y89" si="59">SUM(H90:H101)</f>
        <v>1</v>
      </c>
      <c r="I89" s="8">
        <f t="shared" si="59"/>
        <v>1601</v>
      </c>
      <c r="J89" s="8">
        <f t="shared" si="59"/>
        <v>116.07249999999999</v>
      </c>
      <c r="K89" s="8">
        <f t="shared" si="59"/>
        <v>85.853625000000008</v>
      </c>
      <c r="L89" s="8">
        <f t="shared" si="59"/>
        <v>1802.926125</v>
      </c>
      <c r="M89" s="8">
        <f t="shared" si="59"/>
        <v>1802.926125</v>
      </c>
      <c r="N89" s="8">
        <f t="shared" si="59"/>
        <v>1802.926125</v>
      </c>
      <c r="O89" s="8">
        <f t="shared" si="59"/>
        <v>0</v>
      </c>
      <c r="P89" s="8">
        <f t="shared" si="59"/>
        <v>0</v>
      </c>
      <c r="Q89" s="8">
        <f t="shared" si="59"/>
        <v>0</v>
      </c>
      <c r="R89" s="8">
        <f t="shared" si="59"/>
        <v>0</v>
      </c>
      <c r="S89" s="8">
        <f t="shared" si="59"/>
        <v>0</v>
      </c>
      <c r="T89" s="8">
        <f t="shared" si="59"/>
        <v>0</v>
      </c>
      <c r="U89" s="8">
        <f t="shared" si="59"/>
        <v>0</v>
      </c>
      <c r="V89" s="8">
        <f t="shared" si="59"/>
        <v>0</v>
      </c>
      <c r="W89" s="8">
        <f t="shared" si="59"/>
        <v>0</v>
      </c>
      <c r="X89" s="8">
        <f t="shared" si="59"/>
        <v>0</v>
      </c>
      <c r="Y89" s="96">
        <f t="shared" si="59"/>
        <v>0</v>
      </c>
    </row>
    <row r="90" spans="1:25" s="60" customFormat="1" ht="14.25" customHeight="1" x14ac:dyDescent="0.35">
      <c r="A90" s="1"/>
      <c r="B90" s="97" t="s">
        <v>80</v>
      </c>
      <c r="C90" s="9" t="s">
        <v>101</v>
      </c>
      <c r="D90" s="9" t="s">
        <v>102</v>
      </c>
      <c r="E90" s="9" t="s">
        <v>108</v>
      </c>
      <c r="F90" s="10">
        <v>1</v>
      </c>
      <c r="G90" s="11">
        <v>1600</v>
      </c>
      <c r="H90" s="11">
        <v>1</v>
      </c>
      <c r="I90" s="12">
        <f t="shared" ref="I90" si="60">(F90*G90)+H90</f>
        <v>1601</v>
      </c>
      <c r="J90" s="12">
        <f t="shared" ref="J90" si="61">I90*$D$20</f>
        <v>116.07249999999999</v>
      </c>
      <c r="K90" s="12">
        <f t="shared" ref="K90" si="62">SUM(I90:J90)*5%</f>
        <v>85.853625000000008</v>
      </c>
      <c r="L90" s="12">
        <f t="shared" ref="L90" si="63">SUM(I90:K90)</f>
        <v>1802.926125</v>
      </c>
      <c r="M90" s="12">
        <f t="shared" ref="M90" si="64">SUM(N90, O90,P90,Q90,R90,S90,T90,U90,V90,W90,X90,Y90)</f>
        <v>1802.926125</v>
      </c>
      <c r="N90" s="59">
        <f>L90</f>
        <v>1802.926125</v>
      </c>
      <c r="O90" s="59"/>
      <c r="P90" s="59"/>
      <c r="Q90" s="59"/>
      <c r="R90" s="59"/>
      <c r="S90" s="59"/>
      <c r="T90" s="59"/>
      <c r="U90" s="59"/>
      <c r="V90" s="59"/>
      <c r="W90" s="59"/>
      <c r="X90" s="59"/>
      <c r="Y90" s="98"/>
    </row>
    <row r="91" spans="1:25" s="60" customFormat="1" ht="14.25" customHeight="1" x14ac:dyDescent="0.35">
      <c r="A91" s="1"/>
      <c r="B91" s="97" t="s">
        <v>81</v>
      </c>
      <c r="C91" s="9"/>
      <c r="D91" s="9"/>
      <c r="E91" s="9"/>
      <c r="F91" s="10"/>
      <c r="G91" s="11"/>
      <c r="H91" s="11"/>
      <c r="I91" s="12">
        <f t="shared" ref="I91:I101" si="65">(F91*G91)+H91</f>
        <v>0</v>
      </c>
      <c r="J91" s="12">
        <f t="shared" ref="J91:J101" si="66">I91*$D$20</f>
        <v>0</v>
      </c>
      <c r="K91" s="12">
        <f t="shared" ref="K91:K101" si="67">SUM(I91:J91)*5%</f>
        <v>0</v>
      </c>
      <c r="L91" s="12">
        <f t="shared" ref="L91:L101" si="68">SUM(I91:K91)</f>
        <v>0</v>
      </c>
      <c r="M91" s="12">
        <f t="shared" ref="M91:M101" si="69">SUM(N91, O91,P91,Q91,R91,S91,T91,U91,V91,W91,X91,Y91)</f>
        <v>0</v>
      </c>
      <c r="N91" s="59"/>
      <c r="O91" s="59"/>
      <c r="P91" s="59"/>
      <c r="Q91" s="59"/>
      <c r="R91" s="59"/>
      <c r="S91" s="59"/>
      <c r="T91" s="59"/>
      <c r="U91" s="59"/>
      <c r="V91" s="59"/>
      <c r="W91" s="59"/>
      <c r="X91" s="59"/>
      <c r="Y91" s="98"/>
    </row>
    <row r="92" spans="1:25" s="60" customFormat="1" ht="14.25" customHeight="1" x14ac:dyDescent="0.35">
      <c r="A92" s="1"/>
      <c r="B92" s="97" t="s">
        <v>82</v>
      </c>
      <c r="C92" s="9"/>
      <c r="D92" s="9"/>
      <c r="E92" s="9"/>
      <c r="F92" s="10"/>
      <c r="G92" s="11"/>
      <c r="H92" s="11"/>
      <c r="I92" s="12">
        <f t="shared" si="65"/>
        <v>0</v>
      </c>
      <c r="J92" s="12">
        <f t="shared" si="66"/>
        <v>0</v>
      </c>
      <c r="K92" s="12">
        <f t="shared" si="67"/>
        <v>0</v>
      </c>
      <c r="L92" s="12">
        <f t="shared" si="68"/>
        <v>0</v>
      </c>
      <c r="M92" s="12">
        <f t="shared" si="69"/>
        <v>0</v>
      </c>
      <c r="N92" s="59"/>
      <c r="O92" s="59"/>
      <c r="P92" s="59"/>
      <c r="Q92" s="59"/>
      <c r="R92" s="59"/>
      <c r="S92" s="59"/>
      <c r="T92" s="59"/>
      <c r="U92" s="59"/>
      <c r="V92" s="59"/>
      <c r="W92" s="59"/>
      <c r="X92" s="59"/>
      <c r="Y92" s="98"/>
    </row>
    <row r="93" spans="1:25" s="60" customFormat="1" ht="14.25" customHeight="1" x14ac:dyDescent="0.35">
      <c r="A93" s="1"/>
      <c r="B93" s="97" t="s">
        <v>83</v>
      </c>
      <c r="C93" s="9"/>
      <c r="D93" s="9"/>
      <c r="E93" s="9"/>
      <c r="F93" s="10"/>
      <c r="G93" s="11"/>
      <c r="H93" s="11"/>
      <c r="I93" s="12">
        <f t="shared" si="65"/>
        <v>0</v>
      </c>
      <c r="J93" s="12">
        <f t="shared" si="66"/>
        <v>0</v>
      </c>
      <c r="K93" s="12">
        <f t="shared" si="67"/>
        <v>0</v>
      </c>
      <c r="L93" s="12">
        <f t="shared" si="68"/>
        <v>0</v>
      </c>
      <c r="M93" s="12">
        <f t="shared" si="69"/>
        <v>0</v>
      </c>
      <c r="N93" s="59"/>
      <c r="O93" s="59"/>
      <c r="P93" s="59"/>
      <c r="Q93" s="59"/>
      <c r="R93" s="59"/>
      <c r="S93" s="59"/>
      <c r="T93" s="59"/>
      <c r="U93" s="59"/>
      <c r="V93" s="59"/>
      <c r="W93" s="59"/>
      <c r="X93" s="59"/>
      <c r="Y93" s="98"/>
    </row>
    <row r="94" spans="1:25" s="60" customFormat="1" ht="14.25" customHeight="1" x14ac:dyDescent="0.35">
      <c r="A94" s="1"/>
      <c r="B94" s="97" t="s">
        <v>84</v>
      </c>
      <c r="C94" s="9"/>
      <c r="D94" s="9"/>
      <c r="E94" s="9"/>
      <c r="F94" s="10"/>
      <c r="G94" s="11"/>
      <c r="H94" s="11"/>
      <c r="I94" s="12">
        <f t="shared" si="65"/>
        <v>0</v>
      </c>
      <c r="J94" s="12">
        <f t="shared" si="66"/>
        <v>0</v>
      </c>
      <c r="K94" s="12">
        <f t="shared" si="67"/>
        <v>0</v>
      </c>
      <c r="L94" s="12">
        <f t="shared" si="68"/>
        <v>0</v>
      </c>
      <c r="M94" s="12">
        <f t="shared" si="69"/>
        <v>0</v>
      </c>
      <c r="N94" s="59"/>
      <c r="O94" s="59"/>
      <c r="P94" s="59"/>
      <c r="Q94" s="59"/>
      <c r="R94" s="59"/>
      <c r="S94" s="59"/>
      <c r="T94" s="59"/>
      <c r="U94" s="59"/>
      <c r="V94" s="59"/>
      <c r="W94" s="59"/>
      <c r="X94" s="59"/>
      <c r="Y94" s="98"/>
    </row>
    <row r="95" spans="1:25" s="60" customFormat="1" ht="14.25" customHeight="1" x14ac:dyDescent="0.35">
      <c r="A95" s="1"/>
      <c r="B95" s="97" t="s">
        <v>85</v>
      </c>
      <c r="C95" s="9"/>
      <c r="D95" s="9"/>
      <c r="E95" s="9"/>
      <c r="F95" s="10"/>
      <c r="G95" s="11"/>
      <c r="H95" s="11"/>
      <c r="I95" s="12">
        <f t="shared" ref="I95:I96" si="70">(F95*G95)+H95</f>
        <v>0</v>
      </c>
      <c r="J95" s="12">
        <f t="shared" ref="J95:J96" si="71">I95*$D$20</f>
        <v>0</v>
      </c>
      <c r="K95" s="12">
        <f t="shared" ref="K95:K96" si="72">SUM(I95:J95)*5%</f>
        <v>0</v>
      </c>
      <c r="L95" s="12">
        <f t="shared" ref="L95:L96" si="73">SUM(I95:K95)</f>
        <v>0</v>
      </c>
      <c r="M95" s="12">
        <f t="shared" ref="M95:M96" si="74">SUM(N95, O95,P95,Q95,R95,S95,T95,U95,V95,W95,X95,Y95)</f>
        <v>0</v>
      </c>
      <c r="N95" s="59"/>
      <c r="O95" s="59"/>
      <c r="P95" s="59"/>
      <c r="Q95" s="59"/>
      <c r="R95" s="59"/>
      <c r="S95" s="59"/>
      <c r="T95" s="59"/>
      <c r="U95" s="59"/>
      <c r="V95" s="59"/>
      <c r="W95" s="59"/>
      <c r="X95" s="59"/>
      <c r="Y95" s="98"/>
    </row>
    <row r="96" spans="1:25" s="60" customFormat="1" ht="14.25" customHeight="1" x14ac:dyDescent="0.35">
      <c r="A96" s="1"/>
      <c r="B96" s="97" t="s">
        <v>86</v>
      </c>
      <c r="C96" s="9"/>
      <c r="D96" s="9"/>
      <c r="E96" s="9"/>
      <c r="F96" s="10"/>
      <c r="G96" s="11"/>
      <c r="H96" s="11"/>
      <c r="I96" s="12">
        <f t="shared" si="70"/>
        <v>0</v>
      </c>
      <c r="J96" s="12">
        <f t="shared" si="71"/>
        <v>0</v>
      </c>
      <c r="K96" s="12">
        <f t="shared" si="72"/>
        <v>0</v>
      </c>
      <c r="L96" s="12">
        <f t="shared" si="73"/>
        <v>0</v>
      </c>
      <c r="M96" s="12">
        <f t="shared" si="74"/>
        <v>0</v>
      </c>
      <c r="N96" s="59"/>
      <c r="O96" s="59"/>
      <c r="P96" s="59"/>
      <c r="Q96" s="59"/>
      <c r="R96" s="59"/>
      <c r="S96" s="59"/>
      <c r="T96" s="59"/>
      <c r="U96" s="59"/>
      <c r="V96" s="59"/>
      <c r="W96" s="59"/>
      <c r="X96" s="59"/>
      <c r="Y96" s="98"/>
    </row>
    <row r="97" spans="1:25" s="60" customFormat="1" ht="14.25" customHeight="1" x14ac:dyDescent="0.35">
      <c r="A97" s="1"/>
      <c r="B97" s="97" t="s">
        <v>87</v>
      </c>
      <c r="C97" s="9"/>
      <c r="D97" s="9"/>
      <c r="E97" s="9"/>
      <c r="F97" s="10"/>
      <c r="G97" s="11"/>
      <c r="H97" s="11"/>
      <c r="I97" s="12">
        <f t="shared" si="65"/>
        <v>0</v>
      </c>
      <c r="J97" s="12">
        <f t="shared" si="66"/>
        <v>0</v>
      </c>
      <c r="K97" s="12">
        <f t="shared" si="67"/>
        <v>0</v>
      </c>
      <c r="L97" s="12">
        <f t="shared" si="68"/>
        <v>0</v>
      </c>
      <c r="M97" s="12">
        <f t="shared" si="69"/>
        <v>0</v>
      </c>
      <c r="N97" s="59"/>
      <c r="O97" s="59"/>
      <c r="P97" s="59"/>
      <c r="Q97" s="59"/>
      <c r="R97" s="59"/>
      <c r="S97" s="59"/>
      <c r="T97" s="59"/>
      <c r="U97" s="59"/>
      <c r="V97" s="59"/>
      <c r="W97" s="59"/>
      <c r="X97" s="59"/>
      <c r="Y97" s="98"/>
    </row>
    <row r="98" spans="1:25" s="60" customFormat="1" ht="14.25" customHeight="1" x14ac:dyDescent="0.35">
      <c r="A98" s="1"/>
      <c r="B98" s="97" t="s">
        <v>88</v>
      </c>
      <c r="C98" s="9"/>
      <c r="D98" s="9"/>
      <c r="E98" s="9"/>
      <c r="F98" s="10"/>
      <c r="G98" s="11"/>
      <c r="H98" s="11"/>
      <c r="I98" s="12">
        <f t="shared" si="65"/>
        <v>0</v>
      </c>
      <c r="J98" s="12">
        <f t="shared" si="66"/>
        <v>0</v>
      </c>
      <c r="K98" s="12">
        <f t="shared" si="67"/>
        <v>0</v>
      </c>
      <c r="L98" s="12">
        <f t="shared" si="68"/>
        <v>0</v>
      </c>
      <c r="M98" s="12">
        <f t="shared" si="69"/>
        <v>0</v>
      </c>
      <c r="N98" s="59"/>
      <c r="O98" s="59"/>
      <c r="P98" s="59"/>
      <c r="Q98" s="59"/>
      <c r="R98" s="59"/>
      <c r="S98" s="59"/>
      <c r="T98" s="59"/>
      <c r="U98" s="59"/>
      <c r="V98" s="59"/>
      <c r="W98" s="59"/>
      <c r="X98" s="59"/>
      <c r="Y98" s="98"/>
    </row>
    <row r="99" spans="1:25" s="60" customFormat="1" ht="14.25" customHeight="1" x14ac:dyDescent="0.35">
      <c r="A99" s="1"/>
      <c r="B99" s="97" t="s">
        <v>89</v>
      </c>
      <c r="C99" s="9"/>
      <c r="D99" s="9"/>
      <c r="E99" s="9"/>
      <c r="F99" s="10"/>
      <c r="G99" s="11"/>
      <c r="H99" s="11"/>
      <c r="I99" s="12">
        <f t="shared" si="65"/>
        <v>0</v>
      </c>
      <c r="J99" s="12">
        <f t="shared" si="66"/>
        <v>0</v>
      </c>
      <c r="K99" s="12">
        <f t="shared" si="67"/>
        <v>0</v>
      </c>
      <c r="L99" s="12">
        <f t="shared" si="68"/>
        <v>0</v>
      </c>
      <c r="M99" s="12">
        <f t="shared" si="69"/>
        <v>0</v>
      </c>
      <c r="N99" s="59"/>
      <c r="O99" s="59"/>
      <c r="P99" s="59"/>
      <c r="Q99" s="59"/>
      <c r="R99" s="59"/>
      <c r="S99" s="59"/>
      <c r="T99" s="59"/>
      <c r="U99" s="59"/>
      <c r="V99" s="59"/>
      <c r="W99" s="59"/>
      <c r="X99" s="59"/>
      <c r="Y99" s="98"/>
    </row>
    <row r="100" spans="1:25" s="60" customFormat="1" ht="14.25" customHeight="1" x14ac:dyDescent="0.35">
      <c r="A100" s="1"/>
      <c r="B100" s="97" t="s">
        <v>130</v>
      </c>
      <c r="C100" s="9"/>
      <c r="D100" s="9"/>
      <c r="E100" s="9"/>
      <c r="F100" s="10"/>
      <c r="G100" s="11"/>
      <c r="H100" s="11"/>
      <c r="I100" s="12">
        <f t="shared" ref="I100" si="75">(F100*G100)+H100</f>
        <v>0</v>
      </c>
      <c r="J100" s="12">
        <f t="shared" ref="J100" si="76">I100*$D$20</f>
        <v>0</v>
      </c>
      <c r="K100" s="12">
        <f t="shared" ref="K100" si="77">SUM(I100:J100)*5%</f>
        <v>0</v>
      </c>
      <c r="L100" s="12">
        <f t="shared" ref="L100" si="78">SUM(I100:K100)</f>
        <v>0</v>
      </c>
      <c r="M100" s="12">
        <f t="shared" ref="M100" si="79">SUM(N100, O100,P100,Q100,R100,S100,T100,U100,V100,W100,X100,Y100)</f>
        <v>0</v>
      </c>
      <c r="N100" s="59"/>
      <c r="O100" s="59"/>
      <c r="P100" s="59"/>
      <c r="Q100" s="59"/>
      <c r="R100" s="59"/>
      <c r="S100" s="59"/>
      <c r="T100" s="59"/>
      <c r="U100" s="59"/>
      <c r="V100" s="59"/>
      <c r="W100" s="59"/>
      <c r="X100" s="59"/>
      <c r="Y100" s="98"/>
    </row>
    <row r="101" spans="1:25" s="60" customFormat="1" ht="14.25" customHeight="1" x14ac:dyDescent="0.35">
      <c r="A101" s="1"/>
      <c r="B101" s="97" t="s">
        <v>131</v>
      </c>
      <c r="C101" s="9"/>
      <c r="D101" s="9"/>
      <c r="E101" s="9"/>
      <c r="F101" s="10"/>
      <c r="G101" s="11"/>
      <c r="H101" s="11"/>
      <c r="I101" s="12">
        <f t="shared" si="65"/>
        <v>0</v>
      </c>
      <c r="J101" s="12">
        <f t="shared" si="66"/>
        <v>0</v>
      </c>
      <c r="K101" s="12">
        <f t="shared" si="67"/>
        <v>0</v>
      </c>
      <c r="L101" s="12">
        <f t="shared" si="68"/>
        <v>0</v>
      </c>
      <c r="M101" s="12">
        <f t="shared" si="69"/>
        <v>0</v>
      </c>
      <c r="N101" s="59"/>
      <c r="O101" s="59"/>
      <c r="P101" s="59"/>
      <c r="Q101" s="59"/>
      <c r="R101" s="59"/>
      <c r="S101" s="59"/>
      <c r="T101" s="59"/>
      <c r="U101" s="59"/>
      <c r="V101" s="59"/>
      <c r="W101" s="59"/>
      <c r="X101" s="59"/>
      <c r="Y101" s="98"/>
    </row>
    <row r="102" spans="1:25" s="18" customFormat="1" ht="15.5" x14ac:dyDescent="0.35">
      <c r="A102" s="1"/>
      <c r="B102" s="193" t="s">
        <v>90</v>
      </c>
      <c r="C102" s="137"/>
      <c r="D102" s="138"/>
      <c r="E102" s="6"/>
      <c r="F102" s="7"/>
      <c r="G102" s="8"/>
      <c r="H102" s="8">
        <f t="shared" ref="H102:Y102" si="80">SUM(H103:H114)</f>
        <v>1</v>
      </c>
      <c r="I102" s="8">
        <f t="shared" si="80"/>
        <v>1601</v>
      </c>
      <c r="J102" s="8">
        <f t="shared" si="80"/>
        <v>116.07249999999999</v>
      </c>
      <c r="K102" s="8">
        <f t="shared" si="80"/>
        <v>85.853625000000008</v>
      </c>
      <c r="L102" s="8">
        <f t="shared" si="80"/>
        <v>1802.926125</v>
      </c>
      <c r="M102" s="8">
        <f t="shared" si="80"/>
        <v>1802.926125</v>
      </c>
      <c r="N102" s="8">
        <f t="shared" si="80"/>
        <v>1802.926125</v>
      </c>
      <c r="O102" s="8">
        <f t="shared" si="80"/>
        <v>0</v>
      </c>
      <c r="P102" s="8">
        <f t="shared" si="80"/>
        <v>0</v>
      </c>
      <c r="Q102" s="8">
        <f t="shared" si="80"/>
        <v>0</v>
      </c>
      <c r="R102" s="8">
        <f t="shared" si="80"/>
        <v>0</v>
      </c>
      <c r="S102" s="8">
        <f t="shared" si="80"/>
        <v>0</v>
      </c>
      <c r="T102" s="8">
        <f t="shared" si="80"/>
        <v>0</v>
      </c>
      <c r="U102" s="8">
        <f t="shared" si="80"/>
        <v>0</v>
      </c>
      <c r="V102" s="8">
        <f t="shared" si="80"/>
        <v>0</v>
      </c>
      <c r="W102" s="8">
        <f t="shared" si="80"/>
        <v>0</v>
      </c>
      <c r="X102" s="8">
        <f t="shared" si="80"/>
        <v>0</v>
      </c>
      <c r="Y102" s="96">
        <f t="shared" si="80"/>
        <v>0</v>
      </c>
    </row>
    <row r="103" spans="1:25" s="60" customFormat="1" ht="14.25" customHeight="1" x14ac:dyDescent="0.35">
      <c r="A103" s="1"/>
      <c r="B103" s="97" t="s">
        <v>91</v>
      </c>
      <c r="C103" s="9" t="s">
        <v>101</v>
      </c>
      <c r="D103" s="9" t="s">
        <v>102</v>
      </c>
      <c r="E103" s="9" t="s">
        <v>107</v>
      </c>
      <c r="F103" s="10">
        <v>1</v>
      </c>
      <c r="G103" s="11">
        <v>1600</v>
      </c>
      <c r="H103" s="11">
        <v>1</v>
      </c>
      <c r="I103" s="12">
        <f t="shared" ref="I103" si="81">(F103*G103)+H103</f>
        <v>1601</v>
      </c>
      <c r="J103" s="12">
        <f t="shared" ref="J103" si="82">I103*$D$20</f>
        <v>116.07249999999999</v>
      </c>
      <c r="K103" s="12">
        <f t="shared" ref="K103" si="83">SUM(I103:J103)*5%</f>
        <v>85.853625000000008</v>
      </c>
      <c r="L103" s="12">
        <f t="shared" ref="L103" si="84">SUM(I103:K103)</f>
        <v>1802.926125</v>
      </c>
      <c r="M103" s="12">
        <f t="shared" ref="M103" si="85">SUM(N103, O103,P103,Q103,R103,S103,T103,U103,V103,W103,X103,Y103)</f>
        <v>1802.926125</v>
      </c>
      <c r="N103" s="59">
        <f>L103</f>
        <v>1802.926125</v>
      </c>
      <c r="O103" s="59"/>
      <c r="P103" s="59"/>
      <c r="Q103" s="59"/>
      <c r="R103" s="59"/>
      <c r="S103" s="59"/>
      <c r="T103" s="59"/>
      <c r="U103" s="59"/>
      <c r="V103" s="59"/>
      <c r="W103" s="59"/>
      <c r="X103" s="59"/>
      <c r="Y103" s="98"/>
    </row>
    <row r="104" spans="1:25" s="60" customFormat="1" ht="14.25" customHeight="1" x14ac:dyDescent="0.35">
      <c r="A104" s="1"/>
      <c r="B104" s="97" t="s">
        <v>92</v>
      </c>
      <c r="C104" s="9"/>
      <c r="D104" s="9"/>
      <c r="E104" s="9"/>
      <c r="F104" s="10"/>
      <c r="G104" s="11"/>
      <c r="H104" s="11"/>
      <c r="I104" s="12">
        <f t="shared" ref="I104:I114" si="86">(F104*G104)+H104</f>
        <v>0</v>
      </c>
      <c r="J104" s="12">
        <f t="shared" ref="J104:J114" si="87">I104*$D$20</f>
        <v>0</v>
      </c>
      <c r="K104" s="12">
        <f t="shared" ref="K104:K114" si="88">SUM(I104:J104)*5%</f>
        <v>0</v>
      </c>
      <c r="L104" s="12">
        <f t="shared" ref="L104:L114" si="89">SUM(I104:K104)</f>
        <v>0</v>
      </c>
      <c r="M104" s="12">
        <f t="shared" ref="M104:M114" si="90">SUM(N104, O104,P104,Q104,R104,S104,T104,U104,V104,W104,X104,Y104)</f>
        <v>0</v>
      </c>
      <c r="N104" s="59"/>
      <c r="O104" s="59"/>
      <c r="P104" s="59"/>
      <c r="Q104" s="59"/>
      <c r="R104" s="59"/>
      <c r="S104" s="59"/>
      <c r="T104" s="59"/>
      <c r="U104" s="59"/>
      <c r="V104" s="59"/>
      <c r="W104" s="59"/>
      <c r="X104" s="59"/>
      <c r="Y104" s="98"/>
    </row>
    <row r="105" spans="1:25" s="60" customFormat="1" ht="14.25" customHeight="1" x14ac:dyDescent="0.35">
      <c r="A105" s="1"/>
      <c r="B105" s="97" t="s">
        <v>93</v>
      </c>
      <c r="C105" s="9"/>
      <c r="D105" s="9"/>
      <c r="E105" s="9"/>
      <c r="F105" s="10"/>
      <c r="G105" s="11"/>
      <c r="H105" s="11"/>
      <c r="I105" s="12">
        <f t="shared" si="86"/>
        <v>0</v>
      </c>
      <c r="J105" s="12">
        <f t="shared" si="87"/>
        <v>0</v>
      </c>
      <c r="K105" s="12">
        <f t="shared" si="88"/>
        <v>0</v>
      </c>
      <c r="L105" s="12">
        <f t="shared" si="89"/>
        <v>0</v>
      </c>
      <c r="M105" s="12">
        <f t="shared" si="90"/>
        <v>0</v>
      </c>
      <c r="N105" s="59"/>
      <c r="O105" s="59"/>
      <c r="P105" s="59"/>
      <c r="Q105" s="59"/>
      <c r="R105" s="59"/>
      <c r="S105" s="59"/>
      <c r="T105" s="59"/>
      <c r="U105" s="59"/>
      <c r="V105" s="59"/>
      <c r="W105" s="59"/>
      <c r="X105" s="59"/>
      <c r="Y105" s="98"/>
    </row>
    <row r="106" spans="1:25" s="61" customFormat="1" ht="14.25" customHeight="1" x14ac:dyDescent="0.35">
      <c r="A106" s="1"/>
      <c r="B106" s="97" t="s">
        <v>94</v>
      </c>
      <c r="C106" s="9"/>
      <c r="D106" s="9"/>
      <c r="E106" s="9"/>
      <c r="F106" s="10"/>
      <c r="G106" s="11"/>
      <c r="H106" s="11"/>
      <c r="I106" s="12">
        <f t="shared" si="86"/>
        <v>0</v>
      </c>
      <c r="J106" s="12">
        <f t="shared" si="87"/>
        <v>0</v>
      </c>
      <c r="K106" s="12">
        <f t="shared" si="88"/>
        <v>0</v>
      </c>
      <c r="L106" s="12">
        <f t="shared" si="89"/>
        <v>0</v>
      </c>
      <c r="M106" s="12">
        <f t="shared" si="90"/>
        <v>0</v>
      </c>
      <c r="N106" s="59"/>
      <c r="O106" s="59"/>
      <c r="P106" s="59"/>
      <c r="Q106" s="59"/>
      <c r="R106" s="59"/>
      <c r="S106" s="59"/>
      <c r="T106" s="59"/>
      <c r="U106" s="59"/>
      <c r="V106" s="59"/>
      <c r="W106" s="59"/>
      <c r="X106" s="59"/>
      <c r="Y106" s="98"/>
    </row>
    <row r="107" spans="1:25" s="60" customFormat="1" ht="14.25" customHeight="1" x14ac:dyDescent="0.35">
      <c r="A107" s="1"/>
      <c r="B107" s="97" t="s">
        <v>95</v>
      </c>
      <c r="C107" s="9"/>
      <c r="D107" s="9"/>
      <c r="E107" s="9"/>
      <c r="F107" s="10"/>
      <c r="G107" s="11"/>
      <c r="H107" s="11"/>
      <c r="I107" s="12">
        <f t="shared" si="86"/>
        <v>0</v>
      </c>
      <c r="J107" s="12">
        <f t="shared" si="87"/>
        <v>0</v>
      </c>
      <c r="K107" s="12">
        <f t="shared" si="88"/>
        <v>0</v>
      </c>
      <c r="L107" s="12">
        <f t="shared" si="89"/>
        <v>0</v>
      </c>
      <c r="M107" s="12">
        <f t="shared" si="90"/>
        <v>0</v>
      </c>
      <c r="N107" s="59"/>
      <c r="O107" s="59"/>
      <c r="P107" s="59"/>
      <c r="Q107" s="59"/>
      <c r="R107" s="59"/>
      <c r="S107" s="59"/>
      <c r="T107" s="59"/>
      <c r="U107" s="59"/>
      <c r="V107" s="59"/>
      <c r="W107" s="59"/>
      <c r="X107" s="59"/>
      <c r="Y107" s="98"/>
    </row>
    <row r="108" spans="1:25" s="60" customFormat="1" ht="14.25" customHeight="1" x14ac:dyDescent="0.35">
      <c r="A108" s="1"/>
      <c r="B108" s="97" t="s">
        <v>96</v>
      </c>
      <c r="C108" s="9"/>
      <c r="D108" s="9"/>
      <c r="E108" s="9"/>
      <c r="F108" s="10"/>
      <c r="G108" s="11"/>
      <c r="H108" s="11"/>
      <c r="I108" s="12">
        <f t="shared" ref="I108:I109" si="91">(F108*G108)+H108</f>
        <v>0</v>
      </c>
      <c r="J108" s="12">
        <f t="shared" ref="J108:J109" si="92">I108*$D$20</f>
        <v>0</v>
      </c>
      <c r="K108" s="12">
        <f t="shared" ref="K108:K109" si="93">SUM(I108:J108)*5%</f>
        <v>0</v>
      </c>
      <c r="L108" s="12">
        <f t="shared" ref="L108:L109" si="94">SUM(I108:K108)</f>
        <v>0</v>
      </c>
      <c r="M108" s="12">
        <f t="shared" ref="M108:M109" si="95">SUM(N108, O108,P108,Q108,R108,S108,T108,U108,V108,W108,X108,Y108)</f>
        <v>0</v>
      </c>
      <c r="N108" s="59"/>
      <c r="O108" s="59"/>
      <c r="P108" s="59"/>
      <c r="Q108" s="59"/>
      <c r="R108" s="59"/>
      <c r="S108" s="59"/>
      <c r="T108" s="59"/>
      <c r="U108" s="59"/>
      <c r="V108" s="59"/>
      <c r="W108" s="59"/>
      <c r="X108" s="59"/>
      <c r="Y108" s="98"/>
    </row>
    <row r="109" spans="1:25" s="60" customFormat="1" ht="14.25" customHeight="1" x14ac:dyDescent="0.35">
      <c r="A109" s="1"/>
      <c r="B109" s="97" t="s">
        <v>97</v>
      </c>
      <c r="C109" s="9"/>
      <c r="D109" s="9"/>
      <c r="E109" s="9"/>
      <c r="F109" s="10"/>
      <c r="G109" s="11"/>
      <c r="H109" s="11"/>
      <c r="I109" s="12">
        <f t="shared" si="91"/>
        <v>0</v>
      </c>
      <c r="J109" s="12">
        <f t="shared" si="92"/>
        <v>0</v>
      </c>
      <c r="K109" s="12">
        <f t="shared" si="93"/>
        <v>0</v>
      </c>
      <c r="L109" s="12">
        <f t="shared" si="94"/>
        <v>0</v>
      </c>
      <c r="M109" s="12">
        <f t="shared" si="95"/>
        <v>0</v>
      </c>
      <c r="N109" s="59"/>
      <c r="O109" s="59"/>
      <c r="P109" s="59"/>
      <c r="Q109" s="59"/>
      <c r="R109" s="59"/>
      <c r="S109" s="59"/>
      <c r="T109" s="59"/>
      <c r="U109" s="59"/>
      <c r="V109" s="59"/>
      <c r="W109" s="59"/>
      <c r="X109" s="59"/>
      <c r="Y109" s="98"/>
    </row>
    <row r="110" spans="1:25" s="60" customFormat="1" ht="14.25" customHeight="1" x14ac:dyDescent="0.35">
      <c r="A110" s="1"/>
      <c r="B110" s="97" t="s">
        <v>98</v>
      </c>
      <c r="C110" s="9"/>
      <c r="D110" s="9"/>
      <c r="E110" s="9"/>
      <c r="F110" s="10"/>
      <c r="G110" s="11"/>
      <c r="H110" s="11"/>
      <c r="I110" s="12">
        <f t="shared" si="86"/>
        <v>0</v>
      </c>
      <c r="J110" s="12">
        <f t="shared" si="87"/>
        <v>0</v>
      </c>
      <c r="K110" s="12">
        <f t="shared" si="88"/>
        <v>0</v>
      </c>
      <c r="L110" s="12">
        <f t="shared" si="89"/>
        <v>0</v>
      </c>
      <c r="M110" s="12">
        <f t="shared" si="90"/>
        <v>0</v>
      </c>
      <c r="N110" s="59"/>
      <c r="O110" s="59"/>
      <c r="P110" s="59"/>
      <c r="Q110" s="59"/>
      <c r="R110" s="59"/>
      <c r="S110" s="59"/>
      <c r="T110" s="59"/>
      <c r="U110" s="59"/>
      <c r="V110" s="59"/>
      <c r="W110" s="59"/>
      <c r="X110" s="59"/>
      <c r="Y110" s="98"/>
    </row>
    <row r="111" spans="1:25" s="60" customFormat="1" ht="14.25" customHeight="1" x14ac:dyDescent="0.35">
      <c r="A111" s="1"/>
      <c r="B111" s="97" t="s">
        <v>99</v>
      </c>
      <c r="C111" s="9"/>
      <c r="D111" s="9"/>
      <c r="E111" s="9"/>
      <c r="F111" s="10"/>
      <c r="G111" s="11"/>
      <c r="H111" s="11"/>
      <c r="I111" s="12">
        <f t="shared" si="86"/>
        <v>0</v>
      </c>
      <c r="J111" s="12">
        <f t="shared" si="87"/>
        <v>0</v>
      </c>
      <c r="K111" s="12">
        <f t="shared" si="88"/>
        <v>0</v>
      </c>
      <c r="L111" s="12">
        <f t="shared" si="89"/>
        <v>0</v>
      </c>
      <c r="M111" s="12">
        <f t="shared" si="90"/>
        <v>0</v>
      </c>
      <c r="N111" s="59"/>
      <c r="O111" s="59"/>
      <c r="P111" s="59"/>
      <c r="Q111" s="59"/>
      <c r="R111" s="59"/>
      <c r="S111" s="59"/>
      <c r="T111" s="59"/>
      <c r="U111" s="59"/>
      <c r="V111" s="59"/>
      <c r="W111" s="59"/>
      <c r="X111" s="59"/>
      <c r="Y111" s="98"/>
    </row>
    <row r="112" spans="1:25" s="60" customFormat="1" ht="14.25" customHeight="1" x14ac:dyDescent="0.35">
      <c r="A112" s="1"/>
      <c r="B112" s="97" t="s">
        <v>100</v>
      </c>
      <c r="C112" s="9"/>
      <c r="D112" s="9"/>
      <c r="E112" s="9"/>
      <c r="F112" s="10"/>
      <c r="G112" s="11"/>
      <c r="H112" s="11"/>
      <c r="I112" s="12">
        <f t="shared" si="86"/>
        <v>0</v>
      </c>
      <c r="J112" s="12">
        <f t="shared" si="87"/>
        <v>0</v>
      </c>
      <c r="K112" s="12">
        <f t="shared" si="88"/>
        <v>0</v>
      </c>
      <c r="L112" s="12">
        <f t="shared" si="89"/>
        <v>0</v>
      </c>
      <c r="M112" s="12">
        <f t="shared" si="90"/>
        <v>0</v>
      </c>
      <c r="N112" s="59"/>
      <c r="O112" s="59"/>
      <c r="P112" s="59"/>
      <c r="Q112" s="59"/>
      <c r="R112" s="59"/>
      <c r="S112" s="59"/>
      <c r="T112" s="59"/>
      <c r="U112" s="59"/>
      <c r="V112" s="59"/>
      <c r="W112" s="59"/>
      <c r="X112" s="59"/>
      <c r="Y112" s="98"/>
    </row>
    <row r="113" spans="1:25" s="60" customFormat="1" ht="14.25" customHeight="1" x14ac:dyDescent="0.35">
      <c r="A113" s="1"/>
      <c r="B113" s="97" t="s">
        <v>132</v>
      </c>
      <c r="C113" s="9"/>
      <c r="D113" s="9"/>
      <c r="E113" s="9"/>
      <c r="F113" s="10"/>
      <c r="G113" s="11"/>
      <c r="H113" s="11"/>
      <c r="I113" s="12">
        <f t="shared" si="86"/>
        <v>0</v>
      </c>
      <c r="J113" s="12">
        <f t="shared" si="87"/>
        <v>0</v>
      </c>
      <c r="K113" s="12">
        <f t="shared" si="88"/>
        <v>0</v>
      </c>
      <c r="L113" s="12">
        <f t="shared" si="89"/>
        <v>0</v>
      </c>
      <c r="M113" s="12">
        <f t="shared" si="90"/>
        <v>0</v>
      </c>
      <c r="N113" s="59"/>
      <c r="O113" s="59"/>
      <c r="P113" s="59"/>
      <c r="Q113" s="59"/>
      <c r="R113" s="59"/>
      <c r="S113" s="59"/>
      <c r="T113" s="59"/>
      <c r="U113" s="59"/>
      <c r="V113" s="59"/>
      <c r="W113" s="59"/>
      <c r="X113" s="59"/>
      <c r="Y113" s="98"/>
    </row>
    <row r="114" spans="1:25" s="60" customFormat="1" ht="14.25" customHeight="1" x14ac:dyDescent="0.35">
      <c r="A114" s="1"/>
      <c r="B114" s="97" t="s">
        <v>133</v>
      </c>
      <c r="C114" s="9"/>
      <c r="D114" s="9"/>
      <c r="E114" s="9"/>
      <c r="F114" s="10"/>
      <c r="G114" s="11"/>
      <c r="H114" s="11"/>
      <c r="I114" s="12">
        <f t="shared" si="86"/>
        <v>0</v>
      </c>
      <c r="J114" s="12">
        <f t="shared" si="87"/>
        <v>0</v>
      </c>
      <c r="K114" s="12">
        <f t="shared" si="88"/>
        <v>0</v>
      </c>
      <c r="L114" s="12">
        <f t="shared" si="89"/>
        <v>0</v>
      </c>
      <c r="M114" s="12">
        <f t="shared" si="90"/>
        <v>0</v>
      </c>
      <c r="N114" s="59"/>
      <c r="O114" s="59"/>
      <c r="P114" s="59"/>
      <c r="Q114" s="59"/>
      <c r="R114" s="59"/>
      <c r="S114" s="59"/>
      <c r="T114" s="59"/>
      <c r="U114" s="59"/>
      <c r="V114" s="59"/>
      <c r="W114" s="59"/>
      <c r="X114" s="59"/>
      <c r="Y114" s="98"/>
    </row>
    <row r="115" spans="1:25" s="18" customFormat="1" ht="15.5" x14ac:dyDescent="0.35">
      <c r="A115" s="1"/>
      <c r="B115" s="154" t="s">
        <v>113</v>
      </c>
      <c r="C115" s="212"/>
      <c r="D115" s="213"/>
      <c r="E115" s="31"/>
      <c r="F115" s="32"/>
      <c r="G115" s="33"/>
      <c r="H115" s="33">
        <f>SUMIF($E$38:$E$49:$E$51:$E$62:$E$64:$E$75:$E$77:$E$88:$E$90:$E$101:$E$103:$E$114,"QA",H$38:H$49:H$51:H$62:H$64:H$75:H$77:H$88:H$90:H$101:H$103:H$114)</f>
        <v>2</v>
      </c>
      <c r="I115" s="33">
        <f>SUMIF($E$38:$E$49:$E$51:$E$62:$E$64:$E$75:$E$77:$E$88:$E$90:$E$101:$E$103:$E$114,"QA",I$38:I$49:I$51:I$62:I$64:I$75:I$77:I$88:I$90:I$101:I$103:I$114)</f>
        <v>13752</v>
      </c>
      <c r="J115" s="33">
        <f>SUMIF($E$38:$E$49:$E$51:$E$62:$E$64:$E$75:$E$77:$E$88:$E$90:$E$101:$E$103:$E$114,"QA",J$38:J$49:J$51:J$62:J$64:J$75:J$77:J$88:J$90:J$101:J$103:J$114)</f>
        <v>997.02</v>
      </c>
      <c r="K115" s="33">
        <f>SUMIF($E$38:$E$49:$E$51:$E$62:$E$64:$E$75:$E$77:$E$88:$E$90:$E$101:$E$103:$E$114,"QA",K$38:K$49:K$51:K$62:K$64:K$75:K$77:K$88:K$90:K$101:K$103:K$114)</f>
        <v>737.45100000000002</v>
      </c>
      <c r="L115" s="33">
        <f>SUMIF($E$38:$E$49:$E$51:$E$62:$E$64:$E$75:$E$77:$E$88:$E$90:$E$101:$E$103:$E$114,"QA",L$38:L$49:L$51:L$62:L$64:L$75:L$77:L$88:L$90:L$101:L$103:L$114)</f>
        <v>15486.471</v>
      </c>
      <c r="M115" s="33">
        <f>SUMIF($E$38:$E$49:$E$51:$E$62:$E$64:$E$75:$E$77:$E$88:$E$90:$E$101:$E$103:$E$114,"QA",M$38:M$49:M$51:M$62:M$64:M$75:M$77:M$88:M$90:M$101:M$103:M$114)</f>
        <v>15486.471</v>
      </c>
      <c r="N115" s="33">
        <f>SUMIF($E$38:$E$49:$E$51:$E$62:$E$64:$E$75:$E$77:$E$88:$E$90:$E$101:$E$103:$E$114,"QA",N$38:N$49:N$51:N$62:N$64:N$75:N$77:N$88:N$90:N$101:N$103:N$114)</f>
        <v>15486.471</v>
      </c>
      <c r="O115" s="33">
        <f>SUMIF($E$38:$E$49:$E$51:$E$62:$E$64:$E$75:$E$77:$E$88:$E$90:$E$101:$E$103:$E$114,"QA",O$38:O$49:O$51:O$62:O$64:O$75:O$77:O$88:O$90:O$101:O$103:O$114)</f>
        <v>0</v>
      </c>
      <c r="P115" s="33">
        <f>SUMIF($E$38:$E$49:$E$51:$E$62:$E$64:$E$75:$E$77:$E$88:$E$90:$E$101:$E$103:$E$114,"QA",P$38:P$49:P$51:P$62:P$64:P$75:P$77:P$88:P$90:P$101:P$103:P$114)</f>
        <v>0</v>
      </c>
      <c r="Q115" s="33">
        <f>SUMIF($E$38:$E$49:$E$51:$E$62:$E$64:$E$75:$E$77:$E$88:$E$90:$E$101:$E$103:$E$114,"QA",Q$38:Q$49:Q$51:Q$62:Q$64:Q$75:Q$77:Q$88:Q$90:Q$101:Q$103:Q$114)</f>
        <v>0</v>
      </c>
      <c r="R115" s="33">
        <f>SUMIF($E$38:$E$49:$E$51:$E$62:$E$64:$E$75:$E$77:$E$88:$E$90:$E$101:$E$103:$E$114,"QA",R$38:R$49:R$51:R$62:R$64:R$75:R$77:R$88:R$90:R$101:R$103:R$114)</f>
        <v>0</v>
      </c>
      <c r="S115" s="33">
        <f>SUMIF($E$38:$E$49:$E$51:$E$62:$E$64:$E$75:$E$77:$E$88:$E$90:$E$101:$E$103:$E$114,"QA",S$38:S$49:S$51:S$62:S$64:S$75:S$77:S$88:S$90:S$101:S$103:S$114)</f>
        <v>0</v>
      </c>
      <c r="T115" s="33">
        <f>SUMIF($E$38:$E$49:$E$51:$E$62:$E$64:$E$75:$E$77:$E$88:$E$90:$E$101:$E$103:$E$114,"QA",T$38:T$49:T$51:T$62:T$64:T$75:T$77:T$88:T$90:T$101:T$103:T$114)</f>
        <v>0</v>
      </c>
      <c r="U115" s="33">
        <f>SUMIF($E$38:$E$49:$E$51:$E$62:$E$64:$E$75:$E$77:$E$88:$E$90:$E$101:$E$103:$E$114,"QA",U$38:U$49:U$51:U$62:U$64:U$75:U$77:U$88:U$90:U$101:U$103:U$114)</f>
        <v>0</v>
      </c>
      <c r="V115" s="33">
        <f>SUMIF($E$38:$E$49:$E$51:$E$62:$E$64:$E$75:$E$77:$E$88:$E$90:$E$101:$E$103:$E$114,"QA",V$38:V$49:V$51:V$62:V$64:V$75:V$77:V$88:V$90:V$101:V$103:V$114)</f>
        <v>0</v>
      </c>
      <c r="W115" s="33">
        <f>SUMIF($E$38:$E$49:$E$51:$E$62:$E$64:$E$75:$E$77:$E$88:$E$90:$E$101:$E$103:$E$114,"QA",W$38:W$49:W$51:W$62:W$64:W$75:W$77:W$88:W$90:W$101:W$103:W$114)</f>
        <v>0</v>
      </c>
      <c r="X115" s="33">
        <f>SUMIF($E$38:$E$49:$E$51:$E$62:$E$64:$E$75:$E$77:$E$88:$E$90:$E$101:$E$103:$E$114,"QA",X$38:X$49:X$51:X$62:X$64:X$75:X$77:X$88:X$90:X$101:X$103:X$114)</f>
        <v>0</v>
      </c>
      <c r="Y115" s="99">
        <f>SUMIF($E$38:$E$49:$E$51:$E$62:$E$64:$E$75:$E$77:$E$88:$E$90:$E$101:$E$103:$E$114,"QA",Y$38:Y$49:Y$51:Y$62:Y$64:Y$75:Y$77:Y$88:Y$90:Y$101:Y$103:Y$114)</f>
        <v>0</v>
      </c>
    </row>
    <row r="116" spans="1:25" s="18" customFormat="1" ht="15.5" x14ac:dyDescent="0.35">
      <c r="A116" s="1"/>
      <c r="B116" s="157" t="s">
        <v>117</v>
      </c>
      <c r="C116" s="216"/>
      <c r="D116" s="217"/>
      <c r="E116" s="34"/>
      <c r="F116" s="35"/>
      <c r="G116" s="36"/>
      <c r="H116" s="36">
        <f>SUMIF($E$38:$E$49:$E$51:$E$62:$E$64:$E$75:$E$77:$E$88:$E$90:$E$101:$E$103:$E$114,"PIP",H$38:H$49:H$51:H$62:H$64:H$75:H$77:H$88:H$90:H$101:H$103:H$114)</f>
        <v>2</v>
      </c>
      <c r="I116" s="36">
        <f>SUMIF($E$38:$E$49:$E$51:$E$62:$E$64:$E$75:$E$77:$E$88:$E$90:$E$101:$E$103:$E$114,"PIP",I$38:I$49:I$51:I$62:I$64:I$75:I$77:I$88:I$90:I$101:I$103:I$114)</f>
        <v>8002</v>
      </c>
      <c r="J116" s="36">
        <f>SUMIF($E$38:$E$49:$E$51:$E$62:$E$64:$E$75:$E$77:$E$88:$E$90:$E$101:$E$103:$E$114,"PIP",J$38:J$49:J$51:J$62:J$64:J$75:J$77:J$88:J$90:J$101:J$103:J$114)</f>
        <v>580.14499999999998</v>
      </c>
      <c r="K116" s="36">
        <f>SUMIF($E$38:$E$49:$E$51:$E$62:$E$64:$E$75:$E$77:$E$88:$E$90:$E$101:$E$103:$E$114,"PIP",K$38:K$49:K$51:K$62:K$64:K$75:K$77:K$88:K$90:K$101:K$103:K$114)</f>
        <v>429.10725000000008</v>
      </c>
      <c r="L116" s="36">
        <f>SUMIF($E$38:$E$49:$E$51:$E$62:$E$64:$E$75:$E$77:$E$88:$E$90:$E$101:$E$103:$E$114,"PIP",L$38:L$49:L$51:L$62:L$64:L$75:L$77:L$88:L$90:L$101:L$103:L$114)</f>
        <v>9011.2522500000014</v>
      </c>
      <c r="M116" s="36">
        <f>SUMIF($E$38:$E$49:$E$51:$E$62:$E$64:$E$75:$E$77:$E$88:$E$90:$E$101:$E$103:$E$114,"PIP",M$38:M$49:M$51:M$62:M$64:M$75:M$77:M$88:M$90:M$101:M$103:M$114)</f>
        <v>9011.2522500000014</v>
      </c>
      <c r="N116" s="36">
        <f>SUMIF($E$38:$E$49:$E$51:$E$62:$E$64:$E$75:$E$77:$E$88:$E$90:$E$101:$E$103:$E$114,"PIP",N$38:N$49:N$51:N$62:N$64:N$75:N$77:N$88:N$90:N$101:N$103:N$114)</f>
        <v>9011.2522500000014</v>
      </c>
      <c r="O116" s="36">
        <f>SUMIF($E$38:$E$49:$E$51:$E$62:$E$64:$E$75:$E$77:$E$88:$E$90:$E$101:$E$103:$E$114,"PIP",O$38:O$49:O$51:O$62:O$64:O$75:O$77:O$88:O$90:O$101:O$103:O$114)</f>
        <v>0</v>
      </c>
      <c r="P116" s="36">
        <f>SUMIF($E$38:$E$49:$E$51:$E$62:$E$64:$E$75:$E$77:$E$88:$E$90:$E$101:$E$103:$E$114,"PIP",P$38:P$49:P$51:P$62:P$64:P$75:P$77:P$88:P$90:P$101:P$103:P$114)</f>
        <v>0</v>
      </c>
      <c r="Q116" s="36">
        <f>SUMIF($E$38:$E$49:$E$51:$E$62:$E$64:$E$75:$E$77:$E$88:$E$90:$E$101:$E$103:$E$114,"PIP",Q$38:Q$49:Q$51:Q$62:Q$64:Q$75:Q$77:Q$88:Q$90:Q$101:Q$103:Q$114)</f>
        <v>0</v>
      </c>
      <c r="R116" s="36">
        <f>SUMIF($E$38:$E$49:$E$51:$E$62:$E$64:$E$75:$E$77:$E$88:$E$90:$E$101:$E$103:$E$114,"PIP",R$38:R$49:R$51:R$62:R$64:R$75:R$77:R$88:R$90:R$101:R$103:R$114)</f>
        <v>0</v>
      </c>
      <c r="S116" s="36">
        <f>SUMIF($E$38:$E$49:$E$51:$E$62:$E$64:$E$75:$E$77:$E$88:$E$90:$E$101:$E$103:$E$114,"PIP",S$38:S$49:S$51:S$62:S$64:S$75:S$77:S$88:S$90:S$101:S$103:S$114)</f>
        <v>0</v>
      </c>
      <c r="T116" s="36">
        <f>SUMIF($E$38:$E$49:$E$51:$E$62:$E$64:$E$75:$E$77:$E$88:$E$90:$E$101:$E$103:$E$114,"PIP",T$38:T$49:T$51:T$62:T$64:T$75:T$77:T$88:T$90:T$101:T$103:T$114)</f>
        <v>0</v>
      </c>
      <c r="U116" s="36">
        <f>SUMIF($E$38:$E$49:$E$51:$E$62:$E$64:$E$75:$E$77:$E$88:$E$90:$E$101:$E$103:$E$114,"PIP",U$38:U$49:U$51:U$62:U$64:U$75:U$77:U$88:U$90:U$101:U$103:U$114)</f>
        <v>0</v>
      </c>
      <c r="V116" s="36">
        <f>SUMIF($E$38:$E$49:$E$51:$E$62:$E$64:$E$75:$E$77:$E$88:$E$90:$E$101:$E$103:$E$114,"PIP",V$38:V$49:V$51:V$62:V$64:V$75:V$77:V$88:V$90:V$101:V$103:V$114)</f>
        <v>0</v>
      </c>
      <c r="W116" s="36">
        <f>SUMIF($E$38:$E$49:$E$51:$E$62:$E$64:$E$75:$E$77:$E$88:$E$90:$E$101:$E$103:$E$114,"PIP",W$38:W$49:W$51:W$62:W$64:W$75:W$77:W$88:W$90:W$101:W$103:W$114)</f>
        <v>0</v>
      </c>
      <c r="X116" s="36">
        <f>SUMIF($E$38:$E$49:$E$51:$E$62:$E$64:$E$75:$E$77:$E$88:$E$90:$E$101:$E$103:$E$114,"PIP",X$38:X$49:X$51:X$62:X$64:X$75:X$77:X$88:X$90:X$101:X$103:X$114)</f>
        <v>0</v>
      </c>
      <c r="Y116" s="100">
        <f>SUMIF($E$38:$E$49:$E$51:$E$62:$E$64:$E$75:$E$77:$E$88:$E$90:$E$101:$E$103:$E$114,"PIP",Y$38:Y$49:Y$51:Y$62:Y$64:Y$75:Y$77:Y$88:Y$90:Y$101:Y$103:Y$114)</f>
        <v>0</v>
      </c>
    </row>
    <row r="117" spans="1:25" s="18" customFormat="1" ht="15.5" x14ac:dyDescent="0.35">
      <c r="A117" s="1"/>
      <c r="B117" s="145" t="s">
        <v>114</v>
      </c>
      <c r="C117" s="218"/>
      <c r="D117" s="219"/>
      <c r="E117" s="37"/>
      <c r="F117" s="38"/>
      <c r="G117" s="39"/>
      <c r="H117" s="39">
        <f>SUMIF($E$38:$E$49:$E$51:$E$62:$E$64:$E$75:$E$77:$E$88:$E$90:$E$101:$E$103:$E$114,"PCA",H$38:H$49:H$51:H$62:H$64:H$75:H$77:H$88:H$90:H$101:H$103:H$114)</f>
        <v>1</v>
      </c>
      <c r="I117" s="39">
        <f>SUMIF($E$38:$E$49:$E$51:$E$62:$E$64:$E$75:$E$77:$E$88:$E$90:$E$101:$E$103:$E$114,"PCA",I$38:I$49:I$51:I$62:I$64:I$75:I$77:I$88:I$90:I$101:I$103:I$114)</f>
        <v>601</v>
      </c>
      <c r="J117" s="39">
        <f>SUMIF($E$38:$E$49:$E$51:$E$62:$E$64:$E$75:$E$77:$E$88:$E$90:$E$101:$E$103:$E$114,"PCA",J$38:J$49:J$51:J$62:J$64:J$75:J$77:J$88:J$90:J$101:J$103:J$114)</f>
        <v>43.572499999999998</v>
      </c>
      <c r="K117" s="39">
        <f>SUMIF($E$38:$E$49:$E$51:$E$62:$E$64:$E$75:$E$77:$E$88:$E$90:$E$101:$E$103:$E$114,"PCA",K$38:K$49:K$51:K$62:K$64:K$75:K$77:K$88:K$90:K$101:K$103:K$114)</f>
        <v>32.228625000000001</v>
      </c>
      <c r="L117" s="39">
        <f>SUMIF($E$38:$E$49:$E$51:$E$62:$E$64:$E$75:$E$77:$E$88:$E$90:$E$101:$E$103:$E$114,"PCA",L$38:L$49:L$51:L$62:L$64:L$75:L$77:L$88:L$90:L$101:L$103:L$114)</f>
        <v>676.80112499999996</v>
      </c>
      <c r="M117" s="39">
        <f>SUMIF($E$38:$E$49:$E$51:$E$62:$E$64:$E$75:$E$77:$E$88:$E$90:$E$101:$E$103:$E$114,"PCA",M$38:M$49:M$51:M$62:M$64:M$75:M$77:M$88:M$90:M$101:M$103:M$114)</f>
        <v>676.80112499999996</v>
      </c>
      <c r="N117" s="39">
        <f>SUMIF($E$38:$E$49:$E$51:$E$62:$E$64:$E$75:$E$77:$E$88:$E$90:$E$101:$E$103:$E$114,"PCA",N$38:N$49:N$51:N$62:N$64:N$75:N$77:N$88:N$90:N$101:N$103:N$114)</f>
        <v>676.80112499999996</v>
      </c>
      <c r="O117" s="39">
        <f>SUMIF($E$38:$E$49:$E$51:$E$62:$E$64:$E$75:$E$77:$E$88:$E$90:$E$101:$E$103:$E$114,"PCA",O$38:O$49:O$51:O$62:O$64:O$75:O$77:O$88:O$90:O$101:O$103:O$114)</f>
        <v>0</v>
      </c>
      <c r="P117" s="39">
        <f>SUMIF($E$38:$E$49:$E$51:$E$62:$E$64:$E$75:$E$77:$E$88:$E$90:$E$101:$E$103:$E$114,"PCA",P$38:P$49:P$51:P$62:P$64:P$75:P$77:P$88:P$90:P$101:P$103:P$114)</f>
        <v>0</v>
      </c>
      <c r="Q117" s="39">
        <f>SUMIF($E$38:$E$49:$E$51:$E$62:$E$64:$E$75:$E$77:$E$88:$E$90:$E$101:$E$103:$E$114,"PCA",Q$38:Q$49:Q$51:Q$62:Q$64:Q$75:Q$77:Q$88:Q$90:Q$101:Q$103:Q$114)</f>
        <v>0</v>
      </c>
      <c r="R117" s="39">
        <f>SUMIF($E$38:$E$49:$E$51:$E$62:$E$64:$E$75:$E$77:$E$88:$E$90:$E$101:$E$103:$E$114,"PCA",R$38:R$49:R$51:R$62:R$64:R$75:R$77:R$88:R$90:R$101:R$103:R$114)</f>
        <v>0</v>
      </c>
      <c r="S117" s="39">
        <f>SUMIF($E$38:$E$49:$E$51:$E$62:$E$64:$E$75:$E$77:$E$88:$E$90:$E$101:$E$103:$E$114,"PCA",S$38:S$49:S$51:S$62:S$64:S$75:S$77:S$88:S$90:S$101:S$103:S$114)</f>
        <v>0</v>
      </c>
      <c r="T117" s="39">
        <f>SUMIF($E$38:$E$49:$E$51:$E$62:$E$64:$E$75:$E$77:$E$88:$E$90:$E$101:$E$103:$E$114,"PCA",T$38:T$49:T$51:T$62:T$64:T$75:T$77:T$88:T$90:T$101:T$103:T$114)</f>
        <v>0</v>
      </c>
      <c r="U117" s="39">
        <f>SUMIF($E$38:$E$49:$E$51:$E$62:$E$64:$E$75:$E$77:$E$88:$E$90:$E$101:$E$103:$E$114,"PCA",U$38:U$49:U$51:U$62:U$64:U$75:U$77:U$88:U$90:U$101:U$103:U$114)</f>
        <v>0</v>
      </c>
      <c r="V117" s="39">
        <f>SUMIF($E$38:$E$49:$E$51:$E$62:$E$64:$E$75:$E$77:$E$88:$E$90:$E$101:$E$103:$E$114,"PCA",V$38:V$49:V$51:V$62:V$64:V$75:V$77:V$88:V$90:V$101:V$103:V$114)</f>
        <v>0</v>
      </c>
      <c r="W117" s="39">
        <f>SUMIF($E$38:$E$49:$E$51:$E$62:$E$64:$E$75:$E$77:$E$88:$E$90:$E$101:$E$103:$E$114,"PCA",W$38:W$49:W$51:W$62:W$64:W$75:W$77:W$88:W$90:W$101:W$103:W$114)</f>
        <v>0</v>
      </c>
      <c r="X117" s="39">
        <f>SUMIF($E$38:$E$49:$E$51:$E$62:$E$64:$E$75:$E$77:$E$88:$E$90:$E$101:$E$103:$E$114,"PCA",X$38:X$49:X$51:X$62:X$64:X$75:X$77:X$88:X$90:X$101:X$103:X$114)</f>
        <v>0</v>
      </c>
      <c r="Y117" s="101">
        <f>SUMIF($E$38:$E$49:$E$51:$E$62:$E$64:$E$75:$E$77:$E$88:$E$90:$E$101:$E$103:$E$114,"PCA",Y$38:Y$49:Y$51:Y$62:Y$64:Y$75:Y$77:Y$88:Y$90:Y$101:Y$103:Y$114)</f>
        <v>0</v>
      </c>
    </row>
    <row r="118" spans="1:25" s="18" customFormat="1" ht="15.5" x14ac:dyDescent="0.35">
      <c r="A118" s="1"/>
      <c r="B118" s="148" t="s">
        <v>115</v>
      </c>
      <c r="C118" s="203"/>
      <c r="D118" s="204"/>
      <c r="E118" s="40"/>
      <c r="F118" s="41"/>
      <c r="G118" s="42"/>
      <c r="H118" s="42">
        <f>SUMIF($E$38:$E$49:$E$51:$E$62:$E$64:$E$75:$E$77:$E$88:$E$90:$E$101:$E$103:$E$114,"Other",H$38:H$49:H$51:H$62:H$64:H$75:H$77:H$88:H$90:H$101:H$103:H$114)</f>
        <v>1</v>
      </c>
      <c r="I118" s="42">
        <f>SUMIF($E$38:$E$49:$E$51:$E$62:$E$64:$E$75:$E$77:$E$88:$E$90:$E$101:$E$103:$E$114,"Other",I$38:I$49:I$51:I$62:I$64:I$75:I$77:I$88:I$90:I$101:I$103:I$114)</f>
        <v>6001</v>
      </c>
      <c r="J118" s="42">
        <f>SUMIF($E$38:$E$49:$E$51:$E$62:$E$64:$E$75:$E$77:$E$88:$E$90:$E$101:$E$103:$E$114,"Other",J$38:J$49:J$51:J$62:J$64:J$75:J$77:J$88:J$90:J$101:J$103:J$114)</f>
        <v>435.07249999999999</v>
      </c>
      <c r="K118" s="42">
        <f>SUMIF($E$38:$E$49:$E$51:$E$62:$E$64:$E$75:$E$77:$E$88:$E$90:$E$101:$E$103:$E$114,"Other",K$38:K$49:K$51:K$62:K$64:K$75:K$77:K$88:K$90:K$101:K$103:K$114)</f>
        <v>321.80362500000001</v>
      </c>
      <c r="L118" s="42">
        <f>SUMIF($E$38:$E$49:$E$51:$E$62:$E$64:$E$75:$E$77:$E$88:$E$90:$E$101:$E$103:$E$114,"Other",L$38:L$49:L$51:L$62:L$64:L$75:L$77:L$88:L$90:L$101:L$103:L$114)</f>
        <v>6757.8761250000007</v>
      </c>
      <c r="M118" s="42">
        <f>SUMIF($E$38:$E$49:$E$51:$E$62:$E$64:$E$75:$E$77:$E$88:$E$90:$E$101:$E$103:$E$114,"Other",M$38:M$49:M$51:M$62:M$64:M$75:M$77:M$88:M$90:M$101:M$103:M$114)</f>
        <v>6757.8761250000007</v>
      </c>
      <c r="N118" s="42">
        <f>SUMIF($E$38:$E$49:$E$51:$E$62:$E$64:$E$75:$E$77:$E$88:$E$90:$E$101:$E$103:$E$114,"Other",N$38:N$49:N$51:N$62:N$64:N$75:N$77:N$88:N$90:N$101:N$103:N$114)</f>
        <v>6757.8761250000007</v>
      </c>
      <c r="O118" s="42">
        <f>SUMIF($E$38:$E$49:$E$51:$E$62:$E$64:$E$75:$E$77:$E$88:$E$90:$E$101:$E$103:$E$114,"Other",O$38:O$49:O$51:O$62:O$64:O$75:O$77:O$88:O$90:O$101:O$103:O$114)</f>
        <v>0</v>
      </c>
      <c r="P118" s="42">
        <f>SUMIF($E$38:$E$49:$E$51:$E$62:$E$64:$E$75:$E$77:$E$88:$E$90:$E$101:$E$103:$E$114,"Other",P$38:P$49:P$51:P$62:P$64:P$75:P$77:P$88:P$90:P$101:P$103:P$114)</f>
        <v>0</v>
      </c>
      <c r="Q118" s="42">
        <f>SUMIF($E$38:$E$49:$E$51:$E$62:$E$64:$E$75:$E$77:$E$88:$E$90:$E$101:$E$103:$E$114,"Other",Q$38:Q$49:Q$51:Q$62:Q$64:Q$75:Q$77:Q$88:Q$90:Q$101:Q$103:Q$114)</f>
        <v>0</v>
      </c>
      <c r="R118" s="42">
        <f>SUMIF($E$38:$E$49:$E$51:$E$62:$E$64:$E$75:$E$77:$E$88:$E$90:$E$101:$E$103:$E$114,"Other",R$38:R$49:R$51:R$62:R$64:R$75:R$77:R$88:R$90:R$101:R$103:R$114)</f>
        <v>0</v>
      </c>
      <c r="S118" s="42">
        <f>SUMIF($E$38:$E$49:$E$51:$E$62:$E$64:$E$75:$E$77:$E$88:$E$90:$E$101:$E$103:$E$114,"Other",S$38:S$49:S$51:S$62:S$64:S$75:S$77:S$88:S$90:S$101:S$103:S$114)</f>
        <v>0</v>
      </c>
      <c r="T118" s="42">
        <f>SUMIF($E$38:$E$49:$E$51:$E$62:$E$64:$E$75:$E$77:$E$88:$E$90:$E$101:$E$103:$E$114,"Other",T$38:T$49:T$51:T$62:T$64:T$75:T$77:T$88:T$90:T$101:T$103:T$114)</f>
        <v>0</v>
      </c>
      <c r="U118" s="42">
        <f>SUMIF($E$38:$E$49:$E$51:$E$62:$E$64:$E$75:$E$77:$E$88:$E$90:$E$101:$E$103:$E$114,"Other",U$38:U$49:U$51:U$62:U$64:U$75:U$77:U$88:U$90:U$101:U$103:U$114)</f>
        <v>0</v>
      </c>
      <c r="V118" s="42">
        <f>SUMIF($E$38:$E$49:$E$51:$E$62:$E$64:$E$75:$E$77:$E$88:$E$90:$E$101:$E$103:$E$114,"Other",V$38:V$49:V$51:V$62:V$64:V$75:V$77:V$88:V$90:V$101:V$103:V$114)</f>
        <v>0</v>
      </c>
      <c r="W118" s="42">
        <f>SUMIF($E$38:$E$49:$E$51:$E$62:$E$64:$E$75:$E$77:$E$88:$E$90:$E$101:$E$103:$E$114,"Other",W$38:W$49:W$51:W$62:W$64:W$75:W$77:W$88:W$90:W$101:W$103:W$114)</f>
        <v>0</v>
      </c>
      <c r="X118" s="42">
        <f>SUMIF($E$38:$E$49:$E$51:$E$62:$E$64:$E$75:$E$77:$E$88:$E$90:$E$101:$E$103:$E$114,"Other",X$38:X$49:X$51:X$62:X$64:X$75:X$77:X$88:X$90:X$101:X$103:X$114)</f>
        <v>0</v>
      </c>
      <c r="Y118" s="102">
        <f>SUMIF($E$38:$E$49:$E$51:$E$62:$E$64:$E$75:$E$77:$E$88:$E$90:$E$101:$E$103:$E$114,"Other",Y$38:Y$49:Y$51:Y$62:Y$64:Y$75:Y$77:Y$88:Y$90:Y$101:Y$103:Y$114)</f>
        <v>0</v>
      </c>
    </row>
    <row r="119" spans="1:25" s="18" customFormat="1" ht="15.5" x14ac:dyDescent="0.35">
      <c r="A119" s="1"/>
      <c r="B119" s="151" t="s">
        <v>116</v>
      </c>
      <c r="C119" s="214"/>
      <c r="D119" s="215"/>
      <c r="E119" s="13"/>
      <c r="F119" s="14"/>
      <c r="G119" s="15"/>
      <c r="H119" s="15">
        <f t="shared" ref="H119:Y119" si="96">H37+H50+H63+H76+H89+H102</f>
        <v>6</v>
      </c>
      <c r="I119" s="15">
        <f t="shared" si="96"/>
        <v>28356</v>
      </c>
      <c r="J119" s="15">
        <f t="shared" si="96"/>
        <v>2055.81</v>
      </c>
      <c r="K119" s="15">
        <f t="shared" si="96"/>
        <v>1520.5905</v>
      </c>
      <c r="L119" s="15">
        <f t="shared" si="96"/>
        <v>31932.400499999996</v>
      </c>
      <c r="M119" s="15">
        <f t="shared" si="96"/>
        <v>31932.400499999996</v>
      </c>
      <c r="N119" s="15">
        <f t="shared" si="96"/>
        <v>31932.400499999996</v>
      </c>
      <c r="O119" s="15">
        <f t="shared" si="96"/>
        <v>0</v>
      </c>
      <c r="P119" s="15">
        <f t="shared" si="96"/>
        <v>0</v>
      </c>
      <c r="Q119" s="15">
        <f t="shared" si="96"/>
        <v>0</v>
      </c>
      <c r="R119" s="15">
        <f t="shared" si="96"/>
        <v>0</v>
      </c>
      <c r="S119" s="15">
        <f t="shared" si="96"/>
        <v>0</v>
      </c>
      <c r="T119" s="15">
        <f t="shared" si="96"/>
        <v>0</v>
      </c>
      <c r="U119" s="15">
        <f t="shared" si="96"/>
        <v>0</v>
      </c>
      <c r="V119" s="15">
        <f t="shared" si="96"/>
        <v>0</v>
      </c>
      <c r="W119" s="15">
        <f t="shared" si="96"/>
        <v>0</v>
      </c>
      <c r="X119" s="15">
        <f t="shared" si="96"/>
        <v>0</v>
      </c>
      <c r="Y119" s="103">
        <f t="shared" si="96"/>
        <v>0</v>
      </c>
    </row>
    <row r="120" spans="1:25" s="18" customFormat="1" ht="15.5" x14ac:dyDescent="0.35">
      <c r="A120" s="1"/>
      <c r="B120" s="104" t="s">
        <v>104</v>
      </c>
      <c r="C120" s="43"/>
      <c r="D120" s="44" t="s">
        <v>134</v>
      </c>
      <c r="E120" s="45">
        <v>0.1</v>
      </c>
      <c r="F120" s="208" t="str">
        <f>IF(D120="Method - $ per Key","Per Key",IF(D19="Method - $ Allowance","Total",""))</f>
        <v/>
      </c>
      <c r="G120" s="209"/>
      <c r="H120" s="46" t="s">
        <v>9</v>
      </c>
      <c r="I120" s="205"/>
      <c r="J120" s="206"/>
      <c r="K120" s="207"/>
      <c r="L120" s="47">
        <f>$E$120*L119</f>
        <v>3193.2400499999999</v>
      </c>
      <c r="M120" s="47">
        <f t="shared" ref="M120:Y120" si="97">$E$120*M119</f>
        <v>3193.2400499999999</v>
      </c>
      <c r="N120" s="63">
        <f t="shared" si="97"/>
        <v>3193.2400499999999</v>
      </c>
      <c r="O120" s="63">
        <f t="shared" si="97"/>
        <v>0</v>
      </c>
      <c r="P120" s="63">
        <f t="shared" si="97"/>
        <v>0</v>
      </c>
      <c r="Q120" s="63">
        <f t="shared" si="97"/>
        <v>0</v>
      </c>
      <c r="R120" s="63">
        <f t="shared" si="97"/>
        <v>0</v>
      </c>
      <c r="S120" s="63">
        <f t="shared" si="97"/>
        <v>0</v>
      </c>
      <c r="T120" s="63">
        <f t="shared" si="97"/>
        <v>0</v>
      </c>
      <c r="U120" s="63">
        <f t="shared" si="97"/>
        <v>0</v>
      </c>
      <c r="V120" s="63">
        <f t="shared" si="97"/>
        <v>0</v>
      </c>
      <c r="W120" s="63">
        <f t="shared" si="97"/>
        <v>0</v>
      </c>
      <c r="X120" s="63">
        <f t="shared" si="97"/>
        <v>0</v>
      </c>
      <c r="Y120" s="109">
        <f t="shared" si="97"/>
        <v>0</v>
      </c>
    </row>
    <row r="121" spans="1:25" s="18" customFormat="1" ht="16" thickBot="1" x14ac:dyDescent="0.4">
      <c r="A121" s="1"/>
      <c r="B121" s="142" t="s">
        <v>109</v>
      </c>
      <c r="C121" s="143"/>
      <c r="D121" s="144"/>
      <c r="E121" s="106"/>
      <c r="F121" s="210"/>
      <c r="G121" s="211"/>
      <c r="H121" s="16">
        <f>H119</f>
        <v>6</v>
      </c>
      <c r="I121" s="107">
        <f>I119</f>
        <v>28356</v>
      </c>
      <c r="J121" s="107">
        <f>J119</f>
        <v>2055.81</v>
      </c>
      <c r="K121" s="107">
        <f>K119</f>
        <v>1520.5905</v>
      </c>
      <c r="L121" s="107">
        <f>SUM(L119:L120)</f>
        <v>35125.640549999996</v>
      </c>
      <c r="M121" s="107">
        <f t="shared" ref="M121:Y121" si="98">SUM(M119:M120)</f>
        <v>35125.640549999996</v>
      </c>
      <c r="N121" s="16">
        <f t="shared" si="98"/>
        <v>35125.640549999996</v>
      </c>
      <c r="O121" s="16">
        <f t="shared" si="98"/>
        <v>0</v>
      </c>
      <c r="P121" s="16">
        <f t="shared" si="98"/>
        <v>0</v>
      </c>
      <c r="Q121" s="16">
        <f t="shared" si="98"/>
        <v>0</v>
      </c>
      <c r="R121" s="16">
        <f t="shared" si="98"/>
        <v>0</v>
      </c>
      <c r="S121" s="16">
        <f t="shared" si="98"/>
        <v>0</v>
      </c>
      <c r="T121" s="16">
        <f t="shared" si="98"/>
        <v>0</v>
      </c>
      <c r="U121" s="16">
        <f t="shared" si="98"/>
        <v>0</v>
      </c>
      <c r="V121" s="16">
        <f t="shared" si="98"/>
        <v>0</v>
      </c>
      <c r="W121" s="16">
        <f t="shared" si="98"/>
        <v>0</v>
      </c>
      <c r="X121" s="16">
        <f t="shared" si="98"/>
        <v>0</v>
      </c>
      <c r="Y121" s="108">
        <f t="shared" si="98"/>
        <v>0</v>
      </c>
    </row>
    <row r="122" spans="1:25" s="18" customFormat="1" ht="14.25" customHeight="1" x14ac:dyDescent="0.35">
      <c r="A122" s="1"/>
      <c r="B122" s="25"/>
      <c r="C122" s="25"/>
      <c r="D122" s="25"/>
      <c r="E122" s="25"/>
      <c r="F122" s="19"/>
      <c r="G122" s="20"/>
      <c r="H122" s="26"/>
      <c r="I122" s="27"/>
      <c r="J122" s="27"/>
      <c r="K122" s="27"/>
      <c r="L122" s="27"/>
      <c r="M122" s="27"/>
      <c r="N122" s="27"/>
      <c r="O122" s="27"/>
      <c r="P122" s="27"/>
      <c r="Q122" s="27"/>
      <c r="R122" s="27"/>
      <c r="S122" s="27"/>
      <c r="T122" s="27"/>
      <c r="U122" s="27"/>
      <c r="V122" s="27"/>
      <c r="W122" s="27"/>
      <c r="X122" s="27"/>
      <c r="Y122" s="27"/>
    </row>
    <row r="123" spans="1:25" s="18" customFormat="1" ht="14.25" customHeight="1" x14ac:dyDescent="0.35">
      <c r="A123" s="1"/>
      <c r="B123" s="25"/>
      <c r="C123" s="25"/>
      <c r="D123" s="25"/>
      <c r="E123" s="25"/>
      <c r="F123" s="19"/>
      <c r="G123" s="20"/>
      <c r="H123" s="26"/>
      <c r="I123" s="27"/>
      <c r="J123" s="27"/>
      <c r="K123" s="27"/>
      <c r="L123" s="27"/>
      <c r="M123" s="27"/>
      <c r="N123" s="27"/>
      <c r="O123" s="27"/>
      <c r="P123" s="27"/>
      <c r="Q123" s="27"/>
      <c r="R123" s="27"/>
      <c r="S123" s="27"/>
      <c r="T123" s="27"/>
      <c r="U123" s="27"/>
      <c r="V123" s="27"/>
      <c r="W123" s="27"/>
      <c r="X123" s="27"/>
      <c r="Y123" s="27"/>
    </row>
    <row r="124" spans="1:25" s="18" customFormat="1" ht="14.25" customHeight="1" x14ac:dyDescent="0.35">
      <c r="A124" s="1"/>
      <c r="F124" s="19"/>
      <c r="G124" s="20"/>
      <c r="H124" s="26"/>
      <c r="I124" s="27"/>
      <c r="J124" s="27"/>
      <c r="K124" s="27"/>
      <c r="L124" s="27"/>
      <c r="M124" s="27"/>
      <c r="N124" s="27"/>
      <c r="O124" s="27"/>
      <c r="P124" s="27"/>
      <c r="Q124" s="27"/>
      <c r="R124" s="27"/>
      <c r="S124" s="27"/>
      <c r="T124" s="27"/>
      <c r="U124" s="27"/>
      <c r="V124" s="27"/>
      <c r="W124" s="27"/>
      <c r="X124" s="27"/>
      <c r="Y124" s="27"/>
    </row>
    <row r="125" spans="1:25" s="18" customFormat="1" ht="14.25" customHeight="1" x14ac:dyDescent="0.35">
      <c r="A125" s="1"/>
      <c r="F125" s="19"/>
      <c r="G125" s="20"/>
      <c r="H125" s="26"/>
      <c r="I125" s="27"/>
      <c r="J125" s="27"/>
      <c r="K125" s="27"/>
      <c r="L125" s="27"/>
      <c r="M125" s="27"/>
      <c r="N125" s="27"/>
      <c r="O125" s="27"/>
      <c r="P125" s="27"/>
      <c r="Q125" s="27"/>
      <c r="R125" s="27"/>
      <c r="S125" s="27"/>
      <c r="T125" s="27"/>
      <c r="U125" s="27"/>
      <c r="V125" s="27"/>
      <c r="W125" s="27"/>
      <c r="X125" s="27"/>
      <c r="Y125" s="27"/>
    </row>
    <row r="126" spans="1:25" s="18" customFormat="1" ht="14.25" customHeight="1" x14ac:dyDescent="0.35">
      <c r="A126" s="1"/>
      <c r="B126" s="25"/>
      <c r="F126" s="19"/>
      <c r="G126" s="20"/>
      <c r="H126" s="26"/>
      <c r="I126" s="27"/>
      <c r="J126" s="27"/>
      <c r="K126" s="27"/>
      <c r="L126" s="27"/>
      <c r="M126" s="27"/>
      <c r="N126" s="27"/>
      <c r="O126" s="27"/>
      <c r="P126" s="27"/>
      <c r="Q126" s="27"/>
      <c r="R126" s="27"/>
      <c r="S126" s="27"/>
      <c r="T126" s="27"/>
      <c r="U126" s="27"/>
      <c r="V126" s="27"/>
      <c r="W126" s="27"/>
      <c r="X126" s="27"/>
      <c r="Y126" s="27"/>
    </row>
    <row r="127" spans="1:25" s="18" customFormat="1" ht="14.25" customHeight="1" x14ac:dyDescent="0.35">
      <c r="A127" s="1"/>
      <c r="F127" s="19"/>
      <c r="G127" s="20"/>
      <c r="H127" s="26"/>
      <c r="I127" s="27"/>
      <c r="J127" s="27"/>
      <c r="K127" s="27"/>
      <c r="L127" s="27"/>
      <c r="M127" s="27"/>
      <c r="N127" s="27"/>
      <c r="O127" s="27"/>
      <c r="P127" s="27"/>
      <c r="Q127" s="27"/>
      <c r="R127" s="27"/>
      <c r="S127" s="27"/>
      <c r="T127" s="27"/>
      <c r="U127" s="27"/>
      <c r="V127" s="27"/>
      <c r="W127" s="27"/>
      <c r="X127" s="27"/>
      <c r="Y127" s="27"/>
    </row>
    <row r="128" spans="1:25" s="18" customFormat="1" ht="14.25" customHeight="1" x14ac:dyDescent="0.35">
      <c r="A128" s="1"/>
      <c r="F128" s="19"/>
      <c r="G128" s="20"/>
      <c r="H128" s="26"/>
      <c r="I128" s="27"/>
      <c r="J128" s="27"/>
      <c r="K128" s="27"/>
      <c r="L128" s="27"/>
      <c r="M128" s="27"/>
      <c r="N128" s="27"/>
      <c r="O128" s="27"/>
      <c r="P128" s="27"/>
      <c r="Q128" s="27"/>
      <c r="R128" s="27"/>
      <c r="S128" s="27"/>
      <c r="T128" s="27"/>
      <c r="U128" s="27"/>
      <c r="V128" s="27"/>
      <c r="W128" s="27"/>
      <c r="X128" s="27"/>
      <c r="Y128" s="27"/>
    </row>
    <row r="129" spans="1:25" s="18" customFormat="1" ht="14.25" customHeight="1" x14ac:dyDescent="0.35">
      <c r="A129" s="1"/>
      <c r="F129" s="19"/>
      <c r="G129" s="20"/>
      <c r="H129" s="26"/>
      <c r="I129" s="27"/>
      <c r="J129" s="27"/>
      <c r="K129" s="27"/>
      <c r="L129" s="27"/>
      <c r="M129" s="27"/>
      <c r="N129" s="27"/>
      <c r="O129" s="27"/>
      <c r="P129" s="27"/>
      <c r="Q129" s="27"/>
      <c r="R129" s="27"/>
      <c r="S129" s="27"/>
      <c r="T129" s="27"/>
      <c r="U129" s="27"/>
      <c r="V129" s="27"/>
      <c r="W129" s="27"/>
      <c r="X129" s="27"/>
      <c r="Y129" s="27"/>
    </row>
    <row r="130" spans="1:25" s="18" customFormat="1" ht="14.25" customHeight="1" x14ac:dyDescent="0.35">
      <c r="A130" s="1"/>
      <c r="F130" s="19"/>
      <c r="G130" s="20"/>
      <c r="H130" s="26"/>
      <c r="I130" s="27"/>
      <c r="J130" s="27"/>
      <c r="K130" s="27"/>
      <c r="L130" s="27"/>
      <c r="M130" s="27"/>
      <c r="N130" s="27"/>
      <c r="O130" s="27"/>
      <c r="P130" s="27"/>
      <c r="Q130" s="27"/>
      <c r="R130" s="27"/>
      <c r="S130" s="27"/>
      <c r="T130" s="27"/>
      <c r="U130" s="27"/>
      <c r="V130" s="27"/>
      <c r="W130" s="27"/>
      <c r="X130" s="27"/>
      <c r="Y130" s="27"/>
    </row>
    <row r="131" spans="1:25" s="18" customFormat="1" ht="14.25" customHeight="1" x14ac:dyDescent="0.35">
      <c r="A131" s="1"/>
      <c r="F131" s="19"/>
      <c r="G131" s="20"/>
      <c r="H131" s="26"/>
      <c r="I131" s="27"/>
      <c r="J131" s="27"/>
      <c r="K131" s="27"/>
      <c r="L131" s="27"/>
      <c r="M131" s="27"/>
      <c r="N131" s="27"/>
      <c r="O131" s="27"/>
      <c r="P131" s="27"/>
      <c r="Q131" s="27"/>
      <c r="R131" s="27"/>
      <c r="S131" s="27"/>
      <c r="T131" s="27"/>
      <c r="U131" s="27"/>
      <c r="V131" s="27"/>
      <c r="W131" s="27"/>
      <c r="X131" s="27"/>
      <c r="Y131" s="27"/>
    </row>
    <row r="132" spans="1:25" s="18" customFormat="1" ht="14.25" customHeight="1" x14ac:dyDescent="0.35">
      <c r="A132" s="1"/>
      <c r="F132" s="19"/>
      <c r="G132" s="20"/>
      <c r="H132" s="26"/>
      <c r="I132" s="27"/>
      <c r="J132" s="27"/>
      <c r="K132" s="27"/>
      <c r="L132" s="27"/>
      <c r="M132" s="27"/>
      <c r="N132" s="27"/>
      <c r="O132" s="27"/>
      <c r="P132" s="27"/>
      <c r="Q132" s="27"/>
      <c r="R132" s="27"/>
      <c r="S132" s="27"/>
      <c r="T132" s="27"/>
      <c r="U132" s="27"/>
      <c r="V132" s="27"/>
      <c r="W132" s="27"/>
      <c r="X132" s="27"/>
      <c r="Y132" s="27"/>
    </row>
    <row r="133" spans="1:25" s="18" customFormat="1" ht="14.25" customHeight="1" x14ac:dyDescent="0.35">
      <c r="A133" s="1"/>
      <c r="F133" s="19"/>
      <c r="G133" s="20"/>
      <c r="H133" s="26"/>
      <c r="I133" s="26"/>
      <c r="J133" s="26"/>
      <c r="K133" s="26"/>
      <c r="L133" s="26"/>
      <c r="M133" s="26"/>
      <c r="N133" s="26"/>
      <c r="O133" s="26"/>
      <c r="P133" s="26"/>
      <c r="Q133" s="26"/>
      <c r="R133" s="26"/>
      <c r="S133" s="26"/>
      <c r="T133" s="26"/>
      <c r="U133" s="26"/>
      <c r="V133" s="26"/>
      <c r="W133" s="26"/>
      <c r="X133" s="26"/>
      <c r="Y133" s="26"/>
    </row>
    <row r="134" spans="1:25" s="18" customFormat="1" ht="14.25" customHeight="1" x14ac:dyDescent="0.35">
      <c r="F134" s="19"/>
      <c r="G134" s="20"/>
      <c r="H134" s="26"/>
      <c r="I134" s="26"/>
      <c r="J134" s="26"/>
      <c r="K134" s="26"/>
      <c r="L134" s="26"/>
      <c r="M134" s="26"/>
      <c r="N134" s="26"/>
      <c r="O134" s="26"/>
      <c r="P134" s="26"/>
      <c r="Q134" s="26"/>
      <c r="R134" s="26"/>
      <c r="S134" s="26"/>
      <c r="T134" s="26"/>
      <c r="U134" s="26"/>
      <c r="V134" s="26"/>
      <c r="W134" s="26"/>
      <c r="X134" s="26"/>
      <c r="Y134" s="26"/>
    </row>
    <row r="135" spans="1:25" s="18" customFormat="1" ht="14.25" customHeight="1" x14ac:dyDescent="0.35">
      <c r="F135" s="19"/>
      <c r="G135" s="20"/>
      <c r="H135" s="26"/>
      <c r="I135" s="26"/>
      <c r="J135" s="26"/>
      <c r="K135" s="26"/>
      <c r="L135" s="26"/>
      <c r="M135" s="26"/>
      <c r="N135" s="26"/>
      <c r="O135" s="26"/>
      <c r="P135" s="26"/>
      <c r="Q135" s="26"/>
      <c r="R135" s="26"/>
      <c r="S135" s="26"/>
      <c r="T135" s="26"/>
      <c r="U135" s="26"/>
      <c r="V135" s="26"/>
      <c r="W135" s="26"/>
      <c r="X135" s="26"/>
      <c r="Y135" s="26"/>
    </row>
    <row r="136" spans="1:25" s="18" customFormat="1" ht="14.25" customHeight="1" x14ac:dyDescent="0.35">
      <c r="F136" s="19"/>
      <c r="G136" s="20"/>
      <c r="H136" s="26"/>
      <c r="I136" s="26"/>
      <c r="J136" s="26"/>
      <c r="K136" s="26"/>
      <c r="L136" s="26"/>
      <c r="M136" s="26"/>
      <c r="N136" s="26"/>
      <c r="O136" s="26"/>
      <c r="P136" s="26"/>
      <c r="Q136" s="26"/>
      <c r="R136" s="26"/>
      <c r="S136" s="26"/>
      <c r="T136" s="26"/>
      <c r="U136" s="26"/>
      <c r="V136" s="26"/>
      <c r="W136" s="26"/>
      <c r="X136" s="26"/>
      <c r="Y136" s="26"/>
    </row>
    <row r="137" spans="1:25" s="18" customFormat="1" ht="14.25" customHeight="1" x14ac:dyDescent="0.35">
      <c r="F137" s="19"/>
      <c r="G137" s="20"/>
    </row>
    <row r="138" spans="1:25" s="18" customFormat="1" ht="14.25" customHeight="1" x14ac:dyDescent="0.35">
      <c r="F138" s="19"/>
      <c r="G138" s="20"/>
    </row>
    <row r="139" spans="1:25" s="18" customFormat="1" ht="14.25" customHeight="1" x14ac:dyDescent="0.35">
      <c r="F139" s="19"/>
      <c r="G139" s="20"/>
    </row>
    <row r="140" spans="1:25" s="18" customFormat="1" ht="14.25" customHeight="1" x14ac:dyDescent="0.35">
      <c r="F140" s="19"/>
      <c r="G140" s="20"/>
    </row>
    <row r="141" spans="1:25" s="18" customFormat="1" ht="14.25" customHeight="1" x14ac:dyDescent="0.35">
      <c r="F141" s="19"/>
      <c r="G141" s="20"/>
    </row>
    <row r="142" spans="1:25" s="18" customFormat="1" ht="14.25" customHeight="1" x14ac:dyDescent="0.35">
      <c r="F142" s="19"/>
      <c r="G142" s="20"/>
    </row>
    <row r="143" spans="1:25" s="18" customFormat="1" ht="14.25" customHeight="1" x14ac:dyDescent="0.35">
      <c r="F143" s="19"/>
      <c r="G143" s="20"/>
    </row>
    <row r="144" spans="1:25" s="18" customFormat="1" ht="14.25" customHeight="1" x14ac:dyDescent="0.35">
      <c r="F144" s="19"/>
      <c r="G144" s="20"/>
    </row>
    <row r="145" spans="6:7" s="18" customFormat="1" ht="14.25" customHeight="1" x14ac:dyDescent="0.35">
      <c r="F145" s="19"/>
      <c r="G145" s="20"/>
    </row>
    <row r="146" spans="6:7" s="18" customFormat="1" ht="14.25" customHeight="1" x14ac:dyDescent="0.35">
      <c r="F146" s="19"/>
      <c r="G146" s="20"/>
    </row>
    <row r="147" spans="6:7" s="18" customFormat="1" ht="14.25" customHeight="1" x14ac:dyDescent="0.35">
      <c r="F147" s="19"/>
      <c r="G147" s="20"/>
    </row>
    <row r="148" spans="6:7" s="18" customFormat="1" ht="14.25" customHeight="1" x14ac:dyDescent="0.35">
      <c r="F148" s="19"/>
      <c r="G148" s="20"/>
    </row>
    <row r="149" spans="6:7" s="18" customFormat="1" ht="14.25" customHeight="1" x14ac:dyDescent="0.35">
      <c r="F149" s="19"/>
      <c r="G149" s="20"/>
    </row>
    <row r="150" spans="6:7" s="18" customFormat="1" ht="14.25" customHeight="1" x14ac:dyDescent="0.35">
      <c r="F150" s="19"/>
      <c r="G150" s="20"/>
    </row>
    <row r="151" spans="6:7" s="18" customFormat="1" ht="14.25" customHeight="1" x14ac:dyDescent="0.35">
      <c r="F151" s="19"/>
      <c r="G151" s="20"/>
    </row>
    <row r="152" spans="6:7" s="18" customFormat="1" ht="14.25" customHeight="1" x14ac:dyDescent="0.35">
      <c r="F152" s="19"/>
      <c r="G152" s="20"/>
    </row>
    <row r="153" spans="6:7" s="18" customFormat="1" ht="14.25" customHeight="1" x14ac:dyDescent="0.35">
      <c r="F153" s="19"/>
      <c r="G153" s="20"/>
    </row>
    <row r="154" spans="6:7" s="18" customFormat="1" ht="14.25" customHeight="1" x14ac:dyDescent="0.35">
      <c r="F154" s="19"/>
      <c r="G154" s="20"/>
    </row>
    <row r="155" spans="6:7" s="18" customFormat="1" ht="14.25" customHeight="1" x14ac:dyDescent="0.35">
      <c r="F155" s="19"/>
      <c r="G155" s="20"/>
    </row>
    <row r="156" spans="6:7" s="18" customFormat="1" ht="14.25" customHeight="1" x14ac:dyDescent="0.35">
      <c r="F156" s="19"/>
      <c r="G156" s="20"/>
    </row>
    <row r="157" spans="6:7" s="18" customFormat="1" ht="14.25" customHeight="1" x14ac:dyDescent="0.35">
      <c r="F157" s="19"/>
      <c r="G157" s="20"/>
    </row>
    <row r="158" spans="6:7" s="18" customFormat="1" ht="14.25" customHeight="1" x14ac:dyDescent="0.35">
      <c r="F158" s="19"/>
      <c r="G158" s="20"/>
    </row>
    <row r="159" spans="6:7" s="18" customFormat="1" ht="14.25" customHeight="1" x14ac:dyDescent="0.35">
      <c r="F159" s="19"/>
      <c r="G159" s="20"/>
    </row>
    <row r="160" spans="6:7" s="18" customFormat="1" ht="14.25" customHeight="1" x14ac:dyDescent="0.35">
      <c r="F160" s="19"/>
      <c r="G160" s="20"/>
    </row>
    <row r="161" spans="6:7" s="18" customFormat="1" ht="14.25" customHeight="1" x14ac:dyDescent="0.35">
      <c r="F161" s="19"/>
      <c r="G161" s="20"/>
    </row>
    <row r="162" spans="6:7" s="18" customFormat="1" ht="14.25" customHeight="1" x14ac:dyDescent="0.35">
      <c r="F162" s="19"/>
      <c r="G162" s="20"/>
    </row>
    <row r="163" spans="6:7" s="18" customFormat="1" ht="14.25" customHeight="1" x14ac:dyDescent="0.35">
      <c r="F163" s="19"/>
      <c r="G163" s="20"/>
    </row>
    <row r="164" spans="6:7" s="18" customFormat="1" ht="14.25" customHeight="1" x14ac:dyDescent="0.35">
      <c r="F164" s="19"/>
      <c r="G164" s="20"/>
    </row>
    <row r="165" spans="6:7" s="18" customFormat="1" ht="14.25" customHeight="1" x14ac:dyDescent="0.35">
      <c r="F165" s="19"/>
      <c r="G165" s="20"/>
    </row>
    <row r="166" spans="6:7" s="18" customFormat="1" ht="14.25" customHeight="1" x14ac:dyDescent="0.35">
      <c r="F166" s="19"/>
      <c r="G166" s="20"/>
    </row>
    <row r="167" spans="6:7" s="18" customFormat="1" ht="14.25" customHeight="1" x14ac:dyDescent="0.35">
      <c r="F167" s="19"/>
      <c r="G167" s="20"/>
    </row>
    <row r="168" spans="6:7" s="18" customFormat="1" ht="14.25" customHeight="1" x14ac:dyDescent="0.35">
      <c r="F168" s="19"/>
      <c r="G168" s="20"/>
    </row>
    <row r="169" spans="6:7" s="18" customFormat="1" ht="14.25" customHeight="1" x14ac:dyDescent="0.35">
      <c r="F169" s="19"/>
      <c r="G169" s="20"/>
    </row>
    <row r="170" spans="6:7" s="18" customFormat="1" ht="14.25" customHeight="1" x14ac:dyDescent="0.35">
      <c r="F170" s="19"/>
      <c r="G170" s="20"/>
    </row>
    <row r="171" spans="6:7" s="18" customFormat="1" ht="14.25" customHeight="1" x14ac:dyDescent="0.35">
      <c r="F171" s="19"/>
      <c r="G171" s="20"/>
    </row>
    <row r="172" spans="6:7" s="18" customFormat="1" ht="14.25" customHeight="1" x14ac:dyDescent="0.35">
      <c r="F172" s="19"/>
      <c r="G172" s="20"/>
    </row>
    <row r="173" spans="6:7" s="18" customFormat="1" ht="14.25" customHeight="1" x14ac:dyDescent="0.35">
      <c r="F173" s="19"/>
      <c r="G173" s="20"/>
    </row>
    <row r="174" spans="6:7" s="18" customFormat="1" ht="14.25" customHeight="1" x14ac:dyDescent="0.35">
      <c r="F174" s="19"/>
      <c r="G174" s="20"/>
    </row>
    <row r="175" spans="6:7" s="18" customFormat="1" ht="14.25" customHeight="1" x14ac:dyDescent="0.35">
      <c r="F175" s="19"/>
      <c r="G175" s="20"/>
    </row>
    <row r="176" spans="6:7" s="18" customFormat="1" ht="14.25" customHeight="1" x14ac:dyDescent="0.35">
      <c r="F176" s="19"/>
      <c r="G176" s="20"/>
    </row>
    <row r="177" spans="6:7" s="18" customFormat="1" ht="14.25" customHeight="1" x14ac:dyDescent="0.35">
      <c r="F177" s="19"/>
      <c r="G177" s="20"/>
    </row>
    <row r="178" spans="6:7" s="18" customFormat="1" ht="14.25" customHeight="1" x14ac:dyDescent="0.35">
      <c r="F178" s="19"/>
      <c r="G178" s="20"/>
    </row>
    <row r="179" spans="6:7" s="18" customFormat="1" ht="14.25" customHeight="1" x14ac:dyDescent="0.35">
      <c r="F179" s="19"/>
      <c r="G179" s="20"/>
    </row>
    <row r="180" spans="6:7" s="18" customFormat="1" ht="14.25" customHeight="1" x14ac:dyDescent="0.35">
      <c r="F180" s="19"/>
      <c r="G180" s="20"/>
    </row>
    <row r="181" spans="6:7" s="18" customFormat="1" ht="14.25" customHeight="1" x14ac:dyDescent="0.35">
      <c r="F181" s="19"/>
      <c r="G181" s="20"/>
    </row>
    <row r="182" spans="6:7" s="18" customFormat="1" ht="14.25" customHeight="1" x14ac:dyDescent="0.35">
      <c r="F182" s="19"/>
      <c r="G182" s="20"/>
    </row>
    <row r="183" spans="6:7" s="18" customFormat="1" ht="14.25" customHeight="1" x14ac:dyDescent="0.35">
      <c r="F183" s="19"/>
      <c r="G183" s="20"/>
    </row>
    <row r="184" spans="6:7" s="18" customFormat="1" ht="14.25" customHeight="1" x14ac:dyDescent="0.35">
      <c r="F184" s="19"/>
      <c r="G184" s="20"/>
    </row>
    <row r="185" spans="6:7" s="18" customFormat="1" ht="14.25" customHeight="1" x14ac:dyDescent="0.35">
      <c r="F185" s="19"/>
      <c r="G185" s="20"/>
    </row>
    <row r="186" spans="6:7" s="18" customFormat="1" ht="14.25" customHeight="1" x14ac:dyDescent="0.35">
      <c r="F186" s="19"/>
      <c r="G186" s="20"/>
    </row>
    <row r="187" spans="6:7" s="18" customFormat="1" ht="14.25" customHeight="1" x14ac:dyDescent="0.35">
      <c r="F187" s="19"/>
      <c r="G187" s="20"/>
    </row>
    <row r="188" spans="6:7" s="18" customFormat="1" ht="14.25" customHeight="1" x14ac:dyDescent="0.35">
      <c r="F188" s="19"/>
      <c r="G188" s="20"/>
    </row>
    <row r="189" spans="6:7" s="18" customFormat="1" ht="14.25" customHeight="1" x14ac:dyDescent="0.35">
      <c r="F189" s="19"/>
      <c r="G189" s="20"/>
    </row>
    <row r="190" spans="6:7" s="18" customFormat="1" ht="14.25" customHeight="1" x14ac:dyDescent="0.35">
      <c r="F190" s="19"/>
      <c r="G190" s="20"/>
    </row>
    <row r="191" spans="6:7" s="18" customFormat="1" ht="14.25" customHeight="1" x14ac:dyDescent="0.35">
      <c r="F191" s="19"/>
      <c r="G191" s="20"/>
    </row>
    <row r="192" spans="6:7" s="18" customFormat="1" ht="14.25" customHeight="1" x14ac:dyDescent="0.35">
      <c r="F192" s="19"/>
      <c r="G192" s="20"/>
    </row>
    <row r="193" spans="6:7" s="18" customFormat="1" ht="14.25" customHeight="1" x14ac:dyDescent="0.35">
      <c r="F193" s="19"/>
      <c r="G193" s="20"/>
    </row>
    <row r="194" spans="6:7" s="18" customFormat="1" ht="14.25" customHeight="1" x14ac:dyDescent="0.35">
      <c r="F194" s="19"/>
      <c r="G194" s="20"/>
    </row>
    <row r="195" spans="6:7" s="18" customFormat="1" ht="14.25" customHeight="1" x14ac:dyDescent="0.35">
      <c r="F195" s="19"/>
      <c r="G195" s="20"/>
    </row>
    <row r="196" spans="6:7" s="18" customFormat="1" ht="14.25" customHeight="1" x14ac:dyDescent="0.35">
      <c r="F196" s="19"/>
      <c r="G196" s="20"/>
    </row>
    <row r="197" spans="6:7" s="18" customFormat="1" ht="14.25" customHeight="1" x14ac:dyDescent="0.35">
      <c r="F197" s="19"/>
      <c r="G197" s="20"/>
    </row>
    <row r="198" spans="6:7" s="18" customFormat="1" ht="14.25" customHeight="1" x14ac:dyDescent="0.35">
      <c r="F198" s="19"/>
      <c r="G198" s="20"/>
    </row>
    <row r="199" spans="6:7" s="18" customFormat="1" ht="14.25" customHeight="1" x14ac:dyDescent="0.35">
      <c r="F199" s="19"/>
      <c r="G199" s="20"/>
    </row>
    <row r="200" spans="6:7" s="18" customFormat="1" ht="14.25" customHeight="1" x14ac:dyDescent="0.35">
      <c r="F200" s="19"/>
      <c r="G200" s="20"/>
    </row>
    <row r="201" spans="6:7" s="18" customFormat="1" ht="14.25" customHeight="1" x14ac:dyDescent="0.35">
      <c r="F201" s="19"/>
      <c r="G201" s="20"/>
    </row>
    <row r="202" spans="6:7" s="18" customFormat="1" ht="14.25" customHeight="1" x14ac:dyDescent="0.35">
      <c r="F202" s="19"/>
      <c r="G202" s="20"/>
    </row>
    <row r="203" spans="6:7" s="18" customFormat="1" ht="14.25" customHeight="1" x14ac:dyDescent="0.35">
      <c r="F203" s="19"/>
      <c r="G203" s="20"/>
    </row>
    <row r="204" spans="6:7" s="18" customFormat="1" ht="14.25" customHeight="1" x14ac:dyDescent="0.35">
      <c r="F204" s="19"/>
      <c r="G204" s="20"/>
    </row>
    <row r="205" spans="6:7" s="18" customFormat="1" ht="14.25" customHeight="1" x14ac:dyDescent="0.35">
      <c r="F205" s="19"/>
      <c r="G205" s="20"/>
    </row>
    <row r="206" spans="6:7" s="18" customFormat="1" ht="14.25" customHeight="1" x14ac:dyDescent="0.35">
      <c r="F206" s="19"/>
      <c r="G206" s="20"/>
    </row>
    <row r="207" spans="6:7" s="18" customFormat="1" ht="14.25" customHeight="1" x14ac:dyDescent="0.35">
      <c r="F207" s="19"/>
      <c r="G207" s="20"/>
    </row>
    <row r="208" spans="6:7" s="18" customFormat="1" ht="14.25" customHeight="1" x14ac:dyDescent="0.35">
      <c r="F208" s="19"/>
      <c r="G208" s="20"/>
    </row>
    <row r="209" spans="6:7" s="18" customFormat="1" ht="14.25" customHeight="1" x14ac:dyDescent="0.35">
      <c r="F209" s="19"/>
      <c r="G209" s="20"/>
    </row>
    <row r="210" spans="6:7" s="18" customFormat="1" ht="14.25" customHeight="1" x14ac:dyDescent="0.35">
      <c r="F210" s="19"/>
      <c r="G210" s="20"/>
    </row>
    <row r="211" spans="6:7" s="18" customFormat="1" ht="14.25" customHeight="1" x14ac:dyDescent="0.35">
      <c r="F211" s="19"/>
      <c r="G211" s="20"/>
    </row>
    <row r="212" spans="6:7" s="18" customFormat="1" ht="14.25" customHeight="1" x14ac:dyDescent="0.35">
      <c r="F212" s="19"/>
      <c r="G212" s="20"/>
    </row>
    <row r="213" spans="6:7" s="18" customFormat="1" ht="14.25" customHeight="1" x14ac:dyDescent="0.35">
      <c r="F213" s="19"/>
      <c r="G213" s="20"/>
    </row>
    <row r="214" spans="6:7" s="18" customFormat="1" ht="14.25" customHeight="1" x14ac:dyDescent="0.35">
      <c r="F214" s="19"/>
      <c r="G214" s="20"/>
    </row>
    <row r="215" spans="6:7" s="18" customFormat="1" ht="14.25" customHeight="1" x14ac:dyDescent="0.35">
      <c r="F215" s="19"/>
      <c r="G215" s="20"/>
    </row>
    <row r="216" spans="6:7" s="18" customFormat="1" ht="14.25" customHeight="1" x14ac:dyDescent="0.35">
      <c r="F216" s="19"/>
      <c r="G216" s="20"/>
    </row>
    <row r="217" spans="6:7" s="18" customFormat="1" ht="14.25" customHeight="1" x14ac:dyDescent="0.35">
      <c r="F217" s="19"/>
      <c r="G217" s="20"/>
    </row>
    <row r="218" spans="6:7" s="18" customFormat="1" ht="14.25" customHeight="1" x14ac:dyDescent="0.35">
      <c r="F218" s="19"/>
      <c r="G218" s="20"/>
    </row>
    <row r="219" spans="6:7" s="18" customFormat="1" ht="14.25" customHeight="1" x14ac:dyDescent="0.35">
      <c r="F219" s="19"/>
      <c r="G219" s="20"/>
    </row>
    <row r="220" spans="6:7" s="18" customFormat="1" ht="14.25" customHeight="1" x14ac:dyDescent="0.35">
      <c r="F220" s="19"/>
      <c r="G220" s="20"/>
    </row>
    <row r="221" spans="6:7" s="18" customFormat="1" ht="14.25" customHeight="1" x14ac:dyDescent="0.35">
      <c r="F221" s="19"/>
      <c r="G221" s="20"/>
    </row>
    <row r="222" spans="6:7" s="18" customFormat="1" ht="14.25" customHeight="1" x14ac:dyDescent="0.35">
      <c r="F222" s="19"/>
      <c r="G222" s="20"/>
    </row>
    <row r="223" spans="6:7" s="18" customFormat="1" ht="14.25" customHeight="1" x14ac:dyDescent="0.35">
      <c r="F223" s="19"/>
      <c r="G223" s="20"/>
    </row>
    <row r="224" spans="6:7" s="18" customFormat="1" ht="14.25" customHeight="1" x14ac:dyDescent="0.35">
      <c r="F224" s="19"/>
      <c r="G224" s="20"/>
    </row>
    <row r="225" spans="6:7" s="18" customFormat="1" ht="14.25" customHeight="1" x14ac:dyDescent="0.35">
      <c r="F225" s="19"/>
      <c r="G225" s="20"/>
    </row>
    <row r="226" spans="6:7" s="18" customFormat="1" ht="14.25" customHeight="1" x14ac:dyDescent="0.35">
      <c r="F226" s="19"/>
      <c r="G226" s="20"/>
    </row>
    <row r="227" spans="6:7" s="18" customFormat="1" ht="14.25" customHeight="1" x14ac:dyDescent="0.35">
      <c r="F227" s="19"/>
      <c r="G227" s="20"/>
    </row>
    <row r="228" spans="6:7" s="18" customFormat="1" ht="14.25" customHeight="1" x14ac:dyDescent="0.35">
      <c r="F228" s="19"/>
      <c r="G228" s="20"/>
    </row>
    <row r="229" spans="6:7" s="18" customFormat="1" ht="14.25" customHeight="1" x14ac:dyDescent="0.35">
      <c r="F229" s="19"/>
      <c r="G229" s="20"/>
    </row>
    <row r="230" spans="6:7" s="18" customFormat="1" ht="14.25" customHeight="1" x14ac:dyDescent="0.35">
      <c r="F230" s="19"/>
      <c r="G230" s="20"/>
    </row>
    <row r="231" spans="6:7" s="18" customFormat="1" ht="14.25" customHeight="1" x14ac:dyDescent="0.35">
      <c r="F231" s="19"/>
      <c r="G231" s="20"/>
    </row>
    <row r="232" spans="6:7" s="18" customFormat="1" ht="14.25" customHeight="1" x14ac:dyDescent="0.35">
      <c r="F232" s="19"/>
      <c r="G232" s="20"/>
    </row>
    <row r="233" spans="6:7" s="18" customFormat="1" ht="14.25" customHeight="1" x14ac:dyDescent="0.35">
      <c r="F233" s="19"/>
      <c r="G233" s="20"/>
    </row>
    <row r="234" spans="6:7" s="18" customFormat="1" ht="14.25" customHeight="1" x14ac:dyDescent="0.35">
      <c r="F234" s="19"/>
      <c r="G234" s="20"/>
    </row>
    <row r="235" spans="6:7" s="18" customFormat="1" ht="14.25" customHeight="1" x14ac:dyDescent="0.35">
      <c r="F235" s="19"/>
      <c r="G235" s="20"/>
    </row>
    <row r="236" spans="6:7" s="18" customFormat="1" ht="14.25" customHeight="1" x14ac:dyDescent="0.35">
      <c r="F236" s="19"/>
      <c r="G236" s="20"/>
    </row>
    <row r="237" spans="6:7" s="18" customFormat="1" ht="14.25" customHeight="1" x14ac:dyDescent="0.35">
      <c r="F237" s="19"/>
      <c r="G237" s="20"/>
    </row>
    <row r="238" spans="6:7" s="18" customFormat="1" ht="14.25" customHeight="1" x14ac:dyDescent="0.35">
      <c r="F238" s="19"/>
      <c r="G238" s="20"/>
    </row>
    <row r="239" spans="6:7" s="18" customFormat="1" ht="14.25" customHeight="1" x14ac:dyDescent="0.35">
      <c r="F239" s="19"/>
      <c r="G239" s="20"/>
    </row>
    <row r="240" spans="6:7" s="18" customFormat="1" ht="14.25" customHeight="1" x14ac:dyDescent="0.35">
      <c r="F240" s="19"/>
      <c r="G240" s="20"/>
    </row>
    <row r="241" spans="6:7" s="18" customFormat="1" ht="14.25" customHeight="1" x14ac:dyDescent="0.35">
      <c r="F241" s="19"/>
      <c r="G241" s="20"/>
    </row>
    <row r="242" spans="6:7" s="18" customFormat="1" ht="14.25" customHeight="1" x14ac:dyDescent="0.35">
      <c r="F242" s="19"/>
      <c r="G242" s="20"/>
    </row>
    <row r="243" spans="6:7" s="18" customFormat="1" ht="14.25" customHeight="1" x14ac:dyDescent="0.35">
      <c r="F243" s="19"/>
      <c r="G243" s="20"/>
    </row>
    <row r="244" spans="6:7" s="18" customFormat="1" ht="14.25" customHeight="1" x14ac:dyDescent="0.35">
      <c r="F244" s="19"/>
      <c r="G244" s="20"/>
    </row>
    <row r="245" spans="6:7" s="18" customFormat="1" ht="14.25" customHeight="1" x14ac:dyDescent="0.35">
      <c r="F245" s="19"/>
      <c r="G245" s="20"/>
    </row>
    <row r="246" spans="6:7" s="18" customFormat="1" ht="14.25" customHeight="1" x14ac:dyDescent="0.35">
      <c r="F246" s="19"/>
      <c r="G246" s="20"/>
    </row>
    <row r="247" spans="6:7" s="18" customFormat="1" ht="14.25" customHeight="1" x14ac:dyDescent="0.35">
      <c r="F247" s="19"/>
      <c r="G247" s="20"/>
    </row>
    <row r="248" spans="6:7" s="18" customFormat="1" ht="14.25" customHeight="1" x14ac:dyDescent="0.35">
      <c r="F248" s="19"/>
      <c r="G248" s="20"/>
    </row>
    <row r="249" spans="6:7" s="18" customFormat="1" ht="14.25" customHeight="1" x14ac:dyDescent="0.35">
      <c r="F249" s="19"/>
      <c r="G249" s="20"/>
    </row>
    <row r="250" spans="6:7" s="18" customFormat="1" ht="14.25" customHeight="1" x14ac:dyDescent="0.35">
      <c r="F250" s="19"/>
      <c r="G250" s="20"/>
    </row>
    <row r="251" spans="6:7" s="18" customFormat="1" ht="14.25" customHeight="1" x14ac:dyDescent="0.35">
      <c r="F251" s="19"/>
      <c r="G251" s="20"/>
    </row>
    <row r="252" spans="6:7" s="18" customFormat="1" ht="14.25" customHeight="1" x14ac:dyDescent="0.35">
      <c r="F252" s="19"/>
      <c r="G252" s="20"/>
    </row>
    <row r="253" spans="6:7" s="18" customFormat="1" ht="14.25" customHeight="1" x14ac:dyDescent="0.35">
      <c r="F253" s="19"/>
      <c r="G253" s="20"/>
    </row>
    <row r="254" spans="6:7" s="18" customFormat="1" ht="14.25" customHeight="1" x14ac:dyDescent="0.35">
      <c r="F254" s="19"/>
      <c r="G254" s="20"/>
    </row>
    <row r="255" spans="6:7" s="18" customFormat="1" ht="14.25" customHeight="1" x14ac:dyDescent="0.35">
      <c r="F255" s="19"/>
      <c r="G255" s="20"/>
    </row>
    <row r="256" spans="6:7" s="18" customFormat="1" ht="14.25" customHeight="1" x14ac:dyDescent="0.35">
      <c r="F256" s="19"/>
      <c r="G256" s="20"/>
    </row>
    <row r="257" spans="6:7" s="18" customFormat="1" ht="14.25" customHeight="1" x14ac:dyDescent="0.35">
      <c r="F257" s="19"/>
      <c r="G257" s="20"/>
    </row>
    <row r="258" spans="6:7" s="18" customFormat="1" ht="14.25" customHeight="1" x14ac:dyDescent="0.35">
      <c r="F258" s="19"/>
      <c r="G258" s="20"/>
    </row>
    <row r="259" spans="6:7" s="18" customFormat="1" ht="14.25" customHeight="1" x14ac:dyDescent="0.35">
      <c r="F259" s="19"/>
      <c r="G259" s="20"/>
    </row>
    <row r="260" spans="6:7" s="18" customFormat="1" ht="14.25" customHeight="1" x14ac:dyDescent="0.35">
      <c r="F260" s="19"/>
      <c r="G260" s="20"/>
    </row>
    <row r="261" spans="6:7" s="18" customFormat="1" ht="14.25" customHeight="1" x14ac:dyDescent="0.35">
      <c r="F261" s="19"/>
      <c r="G261" s="20"/>
    </row>
    <row r="262" spans="6:7" s="18" customFormat="1" ht="14.25" customHeight="1" x14ac:dyDescent="0.35">
      <c r="F262" s="19"/>
      <c r="G262" s="20"/>
    </row>
    <row r="263" spans="6:7" s="18" customFormat="1" ht="14.25" customHeight="1" x14ac:dyDescent="0.35">
      <c r="F263" s="19"/>
      <c r="G263" s="20"/>
    </row>
    <row r="264" spans="6:7" s="18" customFormat="1" ht="14.25" customHeight="1" x14ac:dyDescent="0.35">
      <c r="F264" s="19"/>
      <c r="G264" s="20"/>
    </row>
    <row r="265" spans="6:7" s="18" customFormat="1" ht="14.25" customHeight="1" x14ac:dyDescent="0.35">
      <c r="F265" s="19"/>
      <c r="G265" s="20"/>
    </row>
    <row r="266" spans="6:7" s="18" customFormat="1" ht="14.25" customHeight="1" x14ac:dyDescent="0.35">
      <c r="F266" s="19"/>
      <c r="G266" s="20"/>
    </row>
    <row r="267" spans="6:7" s="18" customFormat="1" ht="14.25" customHeight="1" x14ac:dyDescent="0.35">
      <c r="F267" s="19"/>
      <c r="G267" s="20"/>
    </row>
    <row r="268" spans="6:7" s="18" customFormat="1" ht="14.25" customHeight="1" x14ac:dyDescent="0.35">
      <c r="F268" s="19"/>
      <c r="G268" s="20"/>
    </row>
    <row r="269" spans="6:7" s="18" customFormat="1" ht="14.25" customHeight="1" x14ac:dyDescent="0.35">
      <c r="F269" s="19"/>
      <c r="G269" s="20"/>
    </row>
    <row r="270" spans="6:7" s="18" customFormat="1" ht="14.25" customHeight="1" x14ac:dyDescent="0.35">
      <c r="F270" s="19"/>
      <c r="G270" s="20"/>
    </row>
    <row r="271" spans="6:7" s="18" customFormat="1" ht="14.25" customHeight="1" x14ac:dyDescent="0.35">
      <c r="F271" s="19"/>
      <c r="G271" s="20"/>
    </row>
    <row r="272" spans="6:7" s="18" customFormat="1" ht="14.25" customHeight="1" x14ac:dyDescent="0.35">
      <c r="F272" s="19"/>
      <c r="G272" s="20"/>
    </row>
    <row r="273" spans="6:7" s="18" customFormat="1" ht="14.25" customHeight="1" x14ac:dyDescent="0.35">
      <c r="F273" s="19"/>
      <c r="G273" s="20"/>
    </row>
    <row r="274" spans="6:7" s="18" customFormat="1" ht="14.25" customHeight="1" x14ac:dyDescent="0.35">
      <c r="F274" s="19"/>
      <c r="G274" s="20"/>
    </row>
    <row r="275" spans="6:7" s="18" customFormat="1" ht="14.25" customHeight="1" x14ac:dyDescent="0.35">
      <c r="F275" s="19"/>
      <c r="G275" s="20"/>
    </row>
    <row r="276" spans="6:7" s="18" customFormat="1" ht="14.25" customHeight="1" x14ac:dyDescent="0.35">
      <c r="F276" s="19"/>
      <c r="G276" s="20"/>
    </row>
    <row r="277" spans="6:7" s="18" customFormat="1" ht="14.25" customHeight="1" x14ac:dyDescent="0.35">
      <c r="F277" s="19"/>
      <c r="G277" s="20"/>
    </row>
    <row r="278" spans="6:7" s="18" customFormat="1" ht="14.25" customHeight="1" x14ac:dyDescent="0.35">
      <c r="F278" s="19"/>
      <c r="G278" s="20"/>
    </row>
    <row r="279" spans="6:7" s="18" customFormat="1" ht="14.25" customHeight="1" x14ac:dyDescent="0.35">
      <c r="F279" s="19"/>
      <c r="G279" s="20"/>
    </row>
    <row r="280" spans="6:7" s="18" customFormat="1" ht="14.25" customHeight="1" x14ac:dyDescent="0.35">
      <c r="F280" s="19"/>
      <c r="G280" s="20"/>
    </row>
    <row r="281" spans="6:7" s="18" customFormat="1" ht="14.25" customHeight="1" x14ac:dyDescent="0.35">
      <c r="F281" s="19"/>
      <c r="G281" s="20"/>
    </row>
    <row r="282" spans="6:7" s="18" customFormat="1" ht="14.25" customHeight="1" x14ac:dyDescent="0.35">
      <c r="F282" s="19"/>
      <c r="G282" s="20"/>
    </row>
    <row r="283" spans="6:7" s="18" customFormat="1" ht="14.25" customHeight="1" x14ac:dyDescent="0.35">
      <c r="F283" s="19"/>
      <c r="G283" s="20"/>
    </row>
    <row r="284" spans="6:7" s="18" customFormat="1" ht="14.25" customHeight="1" x14ac:dyDescent="0.35">
      <c r="F284" s="19"/>
      <c r="G284" s="20"/>
    </row>
    <row r="285" spans="6:7" s="18" customFormat="1" ht="14.25" customHeight="1" x14ac:dyDescent="0.35">
      <c r="F285" s="19"/>
      <c r="G285" s="20"/>
    </row>
    <row r="286" spans="6:7" s="18" customFormat="1" ht="14.25" customHeight="1" x14ac:dyDescent="0.35">
      <c r="F286" s="19"/>
      <c r="G286" s="20"/>
    </row>
    <row r="287" spans="6:7" s="18" customFormat="1" ht="14.25" customHeight="1" x14ac:dyDescent="0.35">
      <c r="F287" s="19"/>
      <c r="G287" s="20"/>
    </row>
    <row r="288" spans="6:7" s="18" customFormat="1" ht="14.25" customHeight="1" x14ac:dyDescent="0.35">
      <c r="F288" s="19"/>
      <c r="G288" s="20"/>
    </row>
    <row r="289" spans="6:7" s="18" customFormat="1" ht="14.25" customHeight="1" x14ac:dyDescent="0.35">
      <c r="F289" s="19"/>
      <c r="G289" s="20"/>
    </row>
    <row r="290" spans="6:7" s="18" customFormat="1" ht="14.25" customHeight="1" x14ac:dyDescent="0.35">
      <c r="F290" s="19"/>
      <c r="G290" s="20"/>
    </row>
    <row r="291" spans="6:7" s="18" customFormat="1" ht="14.25" customHeight="1" x14ac:dyDescent="0.35">
      <c r="F291" s="19"/>
      <c r="G291" s="20"/>
    </row>
    <row r="292" spans="6:7" s="18" customFormat="1" ht="14.25" customHeight="1" x14ac:dyDescent="0.35">
      <c r="F292" s="19"/>
      <c r="G292" s="20"/>
    </row>
    <row r="293" spans="6:7" s="18" customFormat="1" ht="14.25" customHeight="1" x14ac:dyDescent="0.35">
      <c r="F293" s="19"/>
      <c r="G293" s="20"/>
    </row>
    <row r="294" spans="6:7" s="18" customFormat="1" ht="14.25" customHeight="1" x14ac:dyDescent="0.35">
      <c r="F294" s="19"/>
      <c r="G294" s="20"/>
    </row>
    <row r="295" spans="6:7" s="18" customFormat="1" ht="14.25" customHeight="1" x14ac:dyDescent="0.35">
      <c r="F295" s="19"/>
      <c r="G295" s="20"/>
    </row>
    <row r="296" spans="6:7" s="18" customFormat="1" ht="14.25" customHeight="1" x14ac:dyDescent="0.35">
      <c r="F296" s="19"/>
      <c r="G296" s="20"/>
    </row>
    <row r="297" spans="6:7" s="18" customFormat="1" ht="14.25" customHeight="1" x14ac:dyDescent="0.35">
      <c r="F297" s="19"/>
      <c r="G297" s="20"/>
    </row>
    <row r="298" spans="6:7" s="18" customFormat="1" ht="14.25" customHeight="1" x14ac:dyDescent="0.35">
      <c r="F298" s="19"/>
      <c r="G298" s="20"/>
    </row>
    <row r="299" spans="6:7" s="18" customFormat="1" ht="14.25" customHeight="1" x14ac:dyDescent="0.35">
      <c r="F299" s="19"/>
      <c r="G299" s="20"/>
    </row>
    <row r="300" spans="6:7" s="18" customFormat="1" ht="14.25" customHeight="1" x14ac:dyDescent="0.35">
      <c r="F300" s="19"/>
      <c r="G300" s="20"/>
    </row>
    <row r="301" spans="6:7" s="18" customFormat="1" ht="14.25" customHeight="1" x14ac:dyDescent="0.35">
      <c r="F301" s="19"/>
      <c r="G301" s="20"/>
    </row>
    <row r="302" spans="6:7" s="18" customFormat="1" ht="14.25" customHeight="1" x14ac:dyDescent="0.35">
      <c r="F302" s="19"/>
      <c r="G302" s="20"/>
    </row>
    <row r="303" spans="6:7" s="18" customFormat="1" ht="14.25" customHeight="1" x14ac:dyDescent="0.35">
      <c r="F303" s="19"/>
      <c r="G303" s="20"/>
    </row>
    <row r="304" spans="6:7" s="18" customFormat="1" ht="14.25" customHeight="1" x14ac:dyDescent="0.35">
      <c r="F304" s="19"/>
      <c r="G304" s="20"/>
    </row>
    <row r="305" spans="6:7" s="18" customFormat="1" ht="14.25" customHeight="1" x14ac:dyDescent="0.35">
      <c r="F305" s="19"/>
      <c r="G305" s="20"/>
    </row>
    <row r="306" spans="6:7" s="18" customFormat="1" ht="14.25" customHeight="1" x14ac:dyDescent="0.35">
      <c r="F306" s="19"/>
      <c r="G306" s="20"/>
    </row>
    <row r="307" spans="6:7" s="18" customFormat="1" ht="14.25" customHeight="1" x14ac:dyDescent="0.35">
      <c r="F307" s="19"/>
      <c r="G307" s="20"/>
    </row>
    <row r="308" spans="6:7" s="18" customFormat="1" ht="14.25" customHeight="1" x14ac:dyDescent="0.35">
      <c r="F308" s="19"/>
      <c r="G308" s="20"/>
    </row>
    <row r="309" spans="6:7" s="18" customFormat="1" ht="14.25" customHeight="1" x14ac:dyDescent="0.35">
      <c r="F309" s="19"/>
      <c r="G309" s="20"/>
    </row>
    <row r="310" spans="6:7" s="18" customFormat="1" ht="14.25" customHeight="1" x14ac:dyDescent="0.35">
      <c r="F310" s="19"/>
      <c r="G310" s="20"/>
    </row>
    <row r="311" spans="6:7" s="18" customFormat="1" ht="14.25" customHeight="1" x14ac:dyDescent="0.35">
      <c r="F311" s="19"/>
      <c r="G311" s="20"/>
    </row>
    <row r="312" spans="6:7" s="18" customFormat="1" ht="14.25" customHeight="1" x14ac:dyDescent="0.35">
      <c r="F312" s="19"/>
      <c r="G312" s="20"/>
    </row>
    <row r="313" spans="6:7" s="18" customFormat="1" ht="14.25" customHeight="1" x14ac:dyDescent="0.35">
      <c r="F313" s="19"/>
      <c r="G313" s="20"/>
    </row>
    <row r="314" spans="6:7" s="18" customFormat="1" ht="14.25" customHeight="1" x14ac:dyDescent="0.35">
      <c r="F314" s="19"/>
      <c r="G314" s="20"/>
    </row>
    <row r="315" spans="6:7" s="18" customFormat="1" ht="14.25" customHeight="1" x14ac:dyDescent="0.35">
      <c r="F315" s="19"/>
      <c r="G315" s="20"/>
    </row>
    <row r="316" spans="6:7" s="18" customFormat="1" ht="14.25" customHeight="1" x14ac:dyDescent="0.35">
      <c r="F316" s="19"/>
      <c r="G316" s="20"/>
    </row>
    <row r="317" spans="6:7" s="18" customFormat="1" ht="14.25" customHeight="1" x14ac:dyDescent="0.35">
      <c r="F317" s="19"/>
      <c r="G317" s="20"/>
    </row>
    <row r="318" spans="6:7" s="18" customFormat="1" ht="14.25" customHeight="1" x14ac:dyDescent="0.35">
      <c r="F318" s="19"/>
      <c r="G318" s="20"/>
    </row>
    <row r="319" spans="6:7" s="18" customFormat="1" ht="14.25" customHeight="1" x14ac:dyDescent="0.35">
      <c r="F319" s="19"/>
      <c r="G319" s="20"/>
    </row>
    <row r="320" spans="6:7" s="18" customFormat="1" ht="14.25" customHeight="1" x14ac:dyDescent="0.35">
      <c r="F320" s="19"/>
      <c r="G320" s="20"/>
    </row>
    <row r="321" spans="6:7" s="18" customFormat="1" ht="14.25" customHeight="1" x14ac:dyDescent="0.35">
      <c r="F321" s="19"/>
      <c r="G321" s="20"/>
    </row>
    <row r="322" spans="6:7" s="18" customFormat="1" ht="14.25" customHeight="1" x14ac:dyDescent="0.35">
      <c r="F322" s="19"/>
      <c r="G322" s="20"/>
    </row>
    <row r="323" spans="6:7" s="18" customFormat="1" ht="14.25" customHeight="1" x14ac:dyDescent="0.35">
      <c r="F323" s="19"/>
      <c r="G323" s="20"/>
    </row>
    <row r="324" spans="6:7" s="18" customFormat="1" ht="14.25" customHeight="1" x14ac:dyDescent="0.35">
      <c r="F324" s="19"/>
      <c r="G324" s="20"/>
    </row>
    <row r="325" spans="6:7" s="18" customFormat="1" ht="14.25" customHeight="1" x14ac:dyDescent="0.35">
      <c r="F325" s="19"/>
      <c r="G325" s="20"/>
    </row>
    <row r="326" spans="6:7" s="18" customFormat="1" ht="14.25" customHeight="1" x14ac:dyDescent="0.35">
      <c r="F326" s="19"/>
      <c r="G326" s="20"/>
    </row>
    <row r="327" spans="6:7" s="18" customFormat="1" ht="14.25" customHeight="1" x14ac:dyDescent="0.35">
      <c r="F327" s="19"/>
      <c r="G327" s="20"/>
    </row>
    <row r="328" spans="6:7" s="18" customFormat="1" ht="14.25" customHeight="1" x14ac:dyDescent="0.35">
      <c r="F328" s="19"/>
      <c r="G328" s="20"/>
    </row>
    <row r="329" spans="6:7" s="18" customFormat="1" ht="14.25" customHeight="1" x14ac:dyDescent="0.35">
      <c r="F329" s="19"/>
      <c r="G329" s="20"/>
    </row>
    <row r="330" spans="6:7" s="18" customFormat="1" ht="14.25" customHeight="1" x14ac:dyDescent="0.35">
      <c r="F330" s="19"/>
      <c r="G330" s="20"/>
    </row>
    <row r="331" spans="6:7" s="18" customFormat="1" ht="14.25" customHeight="1" x14ac:dyDescent="0.35">
      <c r="F331" s="19"/>
      <c r="G331" s="20"/>
    </row>
    <row r="332" spans="6:7" s="18" customFormat="1" ht="14.25" customHeight="1" x14ac:dyDescent="0.35">
      <c r="F332" s="19"/>
      <c r="G332" s="20"/>
    </row>
    <row r="333" spans="6:7" s="18" customFormat="1" ht="14.25" customHeight="1" x14ac:dyDescent="0.35">
      <c r="F333" s="19"/>
      <c r="G333" s="20"/>
    </row>
    <row r="334" spans="6:7" s="18" customFormat="1" ht="14.25" customHeight="1" x14ac:dyDescent="0.35">
      <c r="F334" s="19"/>
      <c r="G334" s="20"/>
    </row>
    <row r="335" spans="6:7" s="18" customFormat="1" ht="14.25" customHeight="1" x14ac:dyDescent="0.35">
      <c r="F335" s="19"/>
      <c r="G335" s="20"/>
    </row>
    <row r="336" spans="6:7" s="18" customFormat="1" ht="14.25" customHeight="1" x14ac:dyDescent="0.35">
      <c r="F336" s="19"/>
      <c r="G336" s="20"/>
    </row>
    <row r="337" spans="6:7" s="18" customFormat="1" ht="14.25" customHeight="1" x14ac:dyDescent="0.35">
      <c r="F337" s="19"/>
      <c r="G337" s="20"/>
    </row>
    <row r="338" spans="6:7" s="18" customFormat="1" ht="14.25" customHeight="1" x14ac:dyDescent="0.35">
      <c r="F338" s="19"/>
      <c r="G338" s="20"/>
    </row>
    <row r="339" spans="6:7" s="18" customFormat="1" ht="14.25" customHeight="1" x14ac:dyDescent="0.35">
      <c r="F339" s="19"/>
      <c r="G339" s="20"/>
    </row>
    <row r="340" spans="6:7" s="18" customFormat="1" ht="14.25" customHeight="1" x14ac:dyDescent="0.35">
      <c r="F340" s="19"/>
      <c r="G340" s="20"/>
    </row>
    <row r="341" spans="6:7" s="18" customFormat="1" ht="14.25" customHeight="1" x14ac:dyDescent="0.35">
      <c r="F341" s="19"/>
      <c r="G341" s="20"/>
    </row>
    <row r="342" spans="6:7" s="18" customFormat="1" ht="14.25" customHeight="1" x14ac:dyDescent="0.35">
      <c r="F342" s="19"/>
      <c r="G342" s="20"/>
    </row>
    <row r="343" spans="6:7" s="18" customFormat="1" ht="14.25" customHeight="1" x14ac:dyDescent="0.35">
      <c r="F343" s="19"/>
      <c r="G343" s="20"/>
    </row>
    <row r="344" spans="6:7" s="18" customFormat="1" ht="14.25" customHeight="1" x14ac:dyDescent="0.35">
      <c r="F344" s="19"/>
      <c r="G344" s="20"/>
    </row>
    <row r="345" spans="6:7" s="18" customFormat="1" ht="14.25" customHeight="1" x14ac:dyDescent="0.35">
      <c r="F345" s="19"/>
      <c r="G345" s="20"/>
    </row>
    <row r="346" spans="6:7" s="18" customFormat="1" ht="14.25" customHeight="1" x14ac:dyDescent="0.35">
      <c r="F346" s="19"/>
      <c r="G346" s="20"/>
    </row>
    <row r="347" spans="6:7" s="18" customFormat="1" ht="14.25" customHeight="1" x14ac:dyDescent="0.35">
      <c r="F347" s="19"/>
      <c r="G347" s="20"/>
    </row>
    <row r="348" spans="6:7" s="18" customFormat="1" ht="14.25" customHeight="1" x14ac:dyDescent="0.35">
      <c r="F348" s="19"/>
      <c r="G348" s="20"/>
    </row>
    <row r="349" spans="6:7" s="18" customFormat="1" ht="14.25" customHeight="1" x14ac:dyDescent="0.35">
      <c r="F349" s="19"/>
      <c r="G349" s="20"/>
    </row>
    <row r="350" spans="6:7" s="18" customFormat="1" ht="14.25" customHeight="1" x14ac:dyDescent="0.35">
      <c r="F350" s="19"/>
      <c r="G350" s="20"/>
    </row>
    <row r="351" spans="6:7" s="18" customFormat="1" ht="14.25" customHeight="1" x14ac:dyDescent="0.35">
      <c r="F351" s="19"/>
      <c r="G351" s="20"/>
    </row>
    <row r="352" spans="6:7" s="18" customFormat="1" ht="14.25" customHeight="1" x14ac:dyDescent="0.35">
      <c r="F352" s="19"/>
      <c r="G352" s="20"/>
    </row>
    <row r="353" spans="6:7" s="18" customFormat="1" ht="14.25" customHeight="1" x14ac:dyDescent="0.35">
      <c r="F353" s="19"/>
      <c r="G353" s="20"/>
    </row>
    <row r="354" spans="6:7" s="18" customFormat="1" ht="14.25" customHeight="1" x14ac:dyDescent="0.35">
      <c r="F354" s="19"/>
      <c r="G354" s="20"/>
    </row>
    <row r="355" spans="6:7" s="18" customFormat="1" ht="14.25" customHeight="1" x14ac:dyDescent="0.35">
      <c r="F355" s="19"/>
      <c r="G355" s="20"/>
    </row>
    <row r="356" spans="6:7" s="18" customFormat="1" ht="14.25" customHeight="1" x14ac:dyDescent="0.35">
      <c r="F356" s="19"/>
      <c r="G356" s="20"/>
    </row>
    <row r="357" spans="6:7" s="18" customFormat="1" ht="14.25" customHeight="1" x14ac:dyDescent="0.35">
      <c r="F357" s="19"/>
      <c r="G357" s="20"/>
    </row>
    <row r="358" spans="6:7" s="18" customFormat="1" ht="14.25" customHeight="1" x14ac:dyDescent="0.35">
      <c r="F358" s="19"/>
      <c r="G358" s="20"/>
    </row>
    <row r="359" spans="6:7" s="18" customFormat="1" ht="14.25" customHeight="1" x14ac:dyDescent="0.35">
      <c r="F359" s="19"/>
      <c r="G359" s="20"/>
    </row>
    <row r="360" spans="6:7" s="18" customFormat="1" ht="14.25" customHeight="1" x14ac:dyDescent="0.35">
      <c r="F360" s="19"/>
      <c r="G360" s="20"/>
    </row>
    <row r="361" spans="6:7" s="18" customFormat="1" ht="14.25" customHeight="1" x14ac:dyDescent="0.35">
      <c r="F361" s="19"/>
      <c r="G361" s="20"/>
    </row>
    <row r="362" spans="6:7" s="18" customFormat="1" ht="14.25" customHeight="1" x14ac:dyDescent="0.35">
      <c r="F362" s="19"/>
      <c r="G362" s="20"/>
    </row>
    <row r="363" spans="6:7" s="18" customFormat="1" ht="14.25" customHeight="1" x14ac:dyDescent="0.35">
      <c r="F363" s="19"/>
      <c r="G363" s="20"/>
    </row>
    <row r="364" spans="6:7" s="18" customFormat="1" ht="14.25" customHeight="1" x14ac:dyDescent="0.35">
      <c r="F364" s="19"/>
      <c r="G364" s="20"/>
    </row>
    <row r="365" spans="6:7" s="18" customFormat="1" ht="14.25" customHeight="1" x14ac:dyDescent="0.35">
      <c r="F365" s="19"/>
      <c r="G365" s="20"/>
    </row>
    <row r="366" spans="6:7" s="18" customFormat="1" ht="14.25" customHeight="1" x14ac:dyDescent="0.35">
      <c r="F366" s="19"/>
      <c r="G366" s="20"/>
    </row>
    <row r="367" spans="6:7" s="18" customFormat="1" ht="14.25" customHeight="1" x14ac:dyDescent="0.35">
      <c r="F367" s="19"/>
      <c r="G367" s="20"/>
    </row>
    <row r="368" spans="6:7" s="18" customFormat="1" ht="14.25" customHeight="1" x14ac:dyDescent="0.35">
      <c r="F368" s="19"/>
      <c r="G368" s="20"/>
    </row>
    <row r="369" spans="6:7" s="18" customFormat="1" ht="14.25" customHeight="1" x14ac:dyDescent="0.35">
      <c r="F369" s="19"/>
      <c r="G369" s="20"/>
    </row>
    <row r="370" spans="6:7" s="18" customFormat="1" ht="14.25" customHeight="1" x14ac:dyDescent="0.35">
      <c r="F370" s="19"/>
      <c r="G370" s="20"/>
    </row>
    <row r="371" spans="6:7" s="18" customFormat="1" ht="14.25" customHeight="1" x14ac:dyDescent="0.35">
      <c r="F371" s="19"/>
      <c r="G371" s="20"/>
    </row>
    <row r="372" spans="6:7" s="18" customFormat="1" ht="14.25" customHeight="1" x14ac:dyDescent="0.35">
      <c r="F372" s="19"/>
      <c r="G372" s="20"/>
    </row>
    <row r="373" spans="6:7" s="18" customFormat="1" ht="14.25" customHeight="1" x14ac:dyDescent="0.35">
      <c r="F373" s="19"/>
      <c r="G373" s="20"/>
    </row>
    <row r="374" spans="6:7" s="18" customFormat="1" ht="14.25" customHeight="1" x14ac:dyDescent="0.35">
      <c r="F374" s="19"/>
      <c r="G374" s="20"/>
    </row>
    <row r="375" spans="6:7" s="18" customFormat="1" ht="14.25" customHeight="1" x14ac:dyDescent="0.35">
      <c r="F375" s="19"/>
      <c r="G375" s="20"/>
    </row>
    <row r="376" spans="6:7" s="18" customFormat="1" ht="14.25" customHeight="1" x14ac:dyDescent="0.35">
      <c r="F376" s="19"/>
      <c r="G376" s="20"/>
    </row>
    <row r="377" spans="6:7" s="18" customFormat="1" ht="14.25" customHeight="1" x14ac:dyDescent="0.35">
      <c r="F377" s="19"/>
      <c r="G377" s="20"/>
    </row>
    <row r="378" spans="6:7" s="18" customFormat="1" ht="14.25" customHeight="1" x14ac:dyDescent="0.35">
      <c r="F378" s="19"/>
      <c r="G378" s="20"/>
    </row>
    <row r="379" spans="6:7" s="18" customFormat="1" ht="14.25" customHeight="1" x14ac:dyDescent="0.35">
      <c r="F379" s="19"/>
      <c r="G379" s="20"/>
    </row>
    <row r="380" spans="6:7" s="18" customFormat="1" ht="14.25" customHeight="1" x14ac:dyDescent="0.35">
      <c r="F380" s="19"/>
      <c r="G380" s="20"/>
    </row>
    <row r="381" spans="6:7" s="18" customFormat="1" ht="14.25" customHeight="1" x14ac:dyDescent="0.35">
      <c r="F381" s="19"/>
      <c r="G381" s="20"/>
    </row>
    <row r="382" spans="6:7" s="18" customFormat="1" ht="14.25" customHeight="1" x14ac:dyDescent="0.35">
      <c r="F382" s="19"/>
      <c r="G382" s="20"/>
    </row>
    <row r="383" spans="6:7" s="18" customFormat="1" ht="14.25" customHeight="1" x14ac:dyDescent="0.35">
      <c r="F383" s="19"/>
      <c r="G383" s="20"/>
    </row>
    <row r="384" spans="6:7" s="18" customFormat="1" ht="14.25" customHeight="1" x14ac:dyDescent="0.35">
      <c r="F384" s="19"/>
      <c r="G384" s="20"/>
    </row>
    <row r="385" spans="6:7" s="18" customFormat="1" ht="14.25" customHeight="1" x14ac:dyDescent="0.35">
      <c r="F385" s="19"/>
      <c r="G385" s="20"/>
    </row>
    <row r="386" spans="6:7" s="18" customFormat="1" ht="14.25" customHeight="1" x14ac:dyDescent="0.35">
      <c r="F386" s="19"/>
      <c r="G386" s="20"/>
    </row>
    <row r="387" spans="6:7" s="18" customFormat="1" ht="14.25" customHeight="1" x14ac:dyDescent="0.35">
      <c r="F387" s="19"/>
      <c r="G387" s="20"/>
    </row>
    <row r="388" spans="6:7" s="18" customFormat="1" ht="14.25" customHeight="1" x14ac:dyDescent="0.35">
      <c r="F388" s="19"/>
      <c r="G388" s="20"/>
    </row>
    <row r="389" spans="6:7" s="18" customFormat="1" ht="14.25" customHeight="1" x14ac:dyDescent="0.35">
      <c r="F389" s="19"/>
      <c r="G389" s="20"/>
    </row>
    <row r="390" spans="6:7" s="18" customFormat="1" ht="14.25" customHeight="1" x14ac:dyDescent="0.35">
      <c r="F390" s="19"/>
      <c r="G390" s="20"/>
    </row>
    <row r="391" spans="6:7" s="18" customFormat="1" ht="14.25" customHeight="1" x14ac:dyDescent="0.35">
      <c r="F391" s="19"/>
      <c r="G391" s="20"/>
    </row>
    <row r="392" spans="6:7" s="18" customFormat="1" ht="14.25" customHeight="1" x14ac:dyDescent="0.35">
      <c r="F392" s="19"/>
      <c r="G392" s="20"/>
    </row>
    <row r="393" spans="6:7" s="18" customFormat="1" ht="14.25" customHeight="1" x14ac:dyDescent="0.35">
      <c r="F393" s="19"/>
      <c r="G393" s="20"/>
    </row>
    <row r="394" spans="6:7" s="18" customFormat="1" ht="14.25" customHeight="1" x14ac:dyDescent="0.35">
      <c r="F394" s="19"/>
      <c r="G394" s="20"/>
    </row>
    <row r="395" spans="6:7" s="18" customFormat="1" ht="14.25" customHeight="1" x14ac:dyDescent="0.35">
      <c r="F395" s="19"/>
      <c r="G395" s="20"/>
    </row>
    <row r="396" spans="6:7" s="18" customFormat="1" ht="14.25" customHeight="1" x14ac:dyDescent="0.35">
      <c r="F396" s="19"/>
      <c r="G396" s="20"/>
    </row>
    <row r="397" spans="6:7" s="18" customFormat="1" ht="14.25" customHeight="1" x14ac:dyDescent="0.35">
      <c r="F397" s="19"/>
      <c r="G397" s="20"/>
    </row>
    <row r="398" spans="6:7" s="18" customFormat="1" ht="14.25" customHeight="1" x14ac:dyDescent="0.35">
      <c r="F398" s="19"/>
      <c r="G398" s="20"/>
    </row>
    <row r="399" spans="6:7" s="18" customFormat="1" ht="14.25" customHeight="1" x14ac:dyDescent="0.35">
      <c r="F399" s="19"/>
      <c r="G399" s="20"/>
    </row>
    <row r="400" spans="6:7" s="18" customFormat="1" ht="14.25" customHeight="1" x14ac:dyDescent="0.35">
      <c r="F400" s="19"/>
      <c r="G400" s="20"/>
    </row>
    <row r="401" spans="6:7" s="18" customFormat="1" ht="14.25" customHeight="1" x14ac:dyDescent="0.35">
      <c r="F401" s="19"/>
      <c r="G401" s="20"/>
    </row>
    <row r="402" spans="6:7" s="18" customFormat="1" ht="14.25" customHeight="1" x14ac:dyDescent="0.35">
      <c r="F402" s="19"/>
      <c r="G402" s="20"/>
    </row>
    <row r="403" spans="6:7" s="18" customFormat="1" ht="14.25" customHeight="1" x14ac:dyDescent="0.35">
      <c r="F403" s="19"/>
      <c r="G403" s="20"/>
    </row>
    <row r="404" spans="6:7" s="18" customFormat="1" ht="14.25" customHeight="1" x14ac:dyDescent="0.35">
      <c r="F404" s="19"/>
      <c r="G404" s="20"/>
    </row>
    <row r="405" spans="6:7" s="18" customFormat="1" ht="14.25" customHeight="1" x14ac:dyDescent="0.35">
      <c r="F405" s="19"/>
      <c r="G405" s="20"/>
    </row>
    <row r="406" spans="6:7" s="18" customFormat="1" ht="14.25" customHeight="1" x14ac:dyDescent="0.35">
      <c r="F406" s="19"/>
      <c r="G406" s="20"/>
    </row>
    <row r="407" spans="6:7" s="18" customFormat="1" ht="14.25" customHeight="1" x14ac:dyDescent="0.35">
      <c r="F407" s="19"/>
      <c r="G407" s="20"/>
    </row>
    <row r="408" spans="6:7" s="18" customFormat="1" ht="14.25" customHeight="1" x14ac:dyDescent="0.35">
      <c r="F408" s="19"/>
      <c r="G408" s="20"/>
    </row>
    <row r="409" spans="6:7" s="18" customFormat="1" ht="14.25" customHeight="1" x14ac:dyDescent="0.35">
      <c r="F409" s="19"/>
      <c r="G409" s="20"/>
    </row>
    <row r="410" spans="6:7" s="18" customFormat="1" ht="14.25" customHeight="1" x14ac:dyDescent="0.35">
      <c r="F410" s="19"/>
      <c r="G410" s="20"/>
    </row>
    <row r="411" spans="6:7" s="18" customFormat="1" ht="14.25" customHeight="1" x14ac:dyDescent="0.35">
      <c r="F411" s="19"/>
      <c r="G411" s="20"/>
    </row>
    <row r="412" spans="6:7" s="18" customFormat="1" ht="14.25" customHeight="1" x14ac:dyDescent="0.35">
      <c r="F412" s="19"/>
      <c r="G412" s="20"/>
    </row>
    <row r="413" spans="6:7" s="18" customFormat="1" ht="14.25" customHeight="1" x14ac:dyDescent="0.35">
      <c r="F413" s="19"/>
      <c r="G413" s="20"/>
    </row>
    <row r="414" spans="6:7" s="18" customFormat="1" ht="14.25" customHeight="1" x14ac:dyDescent="0.35">
      <c r="F414" s="19"/>
      <c r="G414" s="20"/>
    </row>
    <row r="415" spans="6:7" s="18" customFormat="1" ht="14.25" customHeight="1" x14ac:dyDescent="0.35">
      <c r="F415" s="19"/>
      <c r="G415" s="20"/>
    </row>
    <row r="416" spans="6:7" s="18" customFormat="1" ht="14.25" customHeight="1" x14ac:dyDescent="0.35">
      <c r="F416" s="19"/>
      <c r="G416" s="20"/>
    </row>
    <row r="417" spans="6:7" s="18" customFormat="1" ht="14.25" customHeight="1" x14ac:dyDescent="0.35">
      <c r="F417" s="19"/>
      <c r="G417" s="20"/>
    </row>
    <row r="418" spans="6:7" s="18" customFormat="1" ht="14.25" customHeight="1" x14ac:dyDescent="0.35">
      <c r="F418" s="19"/>
      <c r="G418" s="20"/>
    </row>
    <row r="419" spans="6:7" s="18" customFormat="1" ht="14.25" customHeight="1" x14ac:dyDescent="0.35">
      <c r="F419" s="19"/>
      <c r="G419" s="20"/>
    </row>
    <row r="420" spans="6:7" s="18" customFormat="1" ht="14.25" customHeight="1" x14ac:dyDescent="0.35">
      <c r="F420" s="19"/>
      <c r="G420" s="20"/>
    </row>
    <row r="421" spans="6:7" s="18" customFormat="1" ht="14.25" customHeight="1" x14ac:dyDescent="0.35">
      <c r="F421" s="19"/>
      <c r="G421" s="20"/>
    </row>
    <row r="422" spans="6:7" s="18" customFormat="1" ht="14.25" customHeight="1" x14ac:dyDescent="0.35">
      <c r="F422" s="19"/>
      <c r="G422" s="20"/>
    </row>
    <row r="423" spans="6:7" s="18" customFormat="1" ht="14.25" customHeight="1" x14ac:dyDescent="0.35">
      <c r="F423" s="19"/>
      <c r="G423" s="20"/>
    </row>
    <row r="424" spans="6:7" s="18" customFormat="1" ht="14.25" customHeight="1" x14ac:dyDescent="0.35">
      <c r="F424" s="19"/>
      <c r="G424" s="20"/>
    </row>
    <row r="425" spans="6:7" s="18" customFormat="1" ht="14.25" customHeight="1" x14ac:dyDescent="0.35">
      <c r="F425" s="19"/>
      <c r="G425" s="20"/>
    </row>
    <row r="426" spans="6:7" s="18" customFormat="1" ht="14.25" customHeight="1" x14ac:dyDescent="0.35">
      <c r="F426" s="19"/>
      <c r="G426" s="20"/>
    </row>
    <row r="427" spans="6:7" s="18" customFormat="1" ht="14.25" customHeight="1" x14ac:dyDescent="0.35">
      <c r="F427" s="19"/>
      <c r="G427" s="20"/>
    </row>
    <row r="428" spans="6:7" s="18" customFormat="1" ht="14.25" customHeight="1" x14ac:dyDescent="0.35">
      <c r="F428" s="19"/>
      <c r="G428" s="20"/>
    </row>
    <row r="429" spans="6:7" s="18" customFormat="1" ht="14.25" customHeight="1" x14ac:dyDescent="0.35">
      <c r="F429" s="19"/>
      <c r="G429" s="20"/>
    </row>
    <row r="430" spans="6:7" s="18" customFormat="1" ht="14.25" customHeight="1" x14ac:dyDescent="0.35">
      <c r="F430" s="19"/>
      <c r="G430" s="20"/>
    </row>
    <row r="431" spans="6:7" s="18" customFormat="1" ht="14.25" customHeight="1" x14ac:dyDescent="0.35">
      <c r="F431" s="19"/>
      <c r="G431" s="20"/>
    </row>
    <row r="432" spans="6:7" s="18" customFormat="1" ht="14.25" customHeight="1" x14ac:dyDescent="0.35">
      <c r="F432" s="19"/>
      <c r="G432" s="20"/>
    </row>
    <row r="433" spans="6:7" s="18" customFormat="1" ht="14.25" customHeight="1" x14ac:dyDescent="0.35">
      <c r="F433" s="19"/>
      <c r="G433" s="20"/>
    </row>
    <row r="434" spans="6:7" s="18" customFormat="1" ht="14.25" customHeight="1" x14ac:dyDescent="0.35">
      <c r="F434" s="19"/>
      <c r="G434" s="20"/>
    </row>
    <row r="435" spans="6:7" s="18" customFormat="1" ht="14.25" customHeight="1" x14ac:dyDescent="0.35">
      <c r="F435" s="19"/>
      <c r="G435" s="20"/>
    </row>
    <row r="436" spans="6:7" s="18" customFormat="1" ht="14.25" customHeight="1" x14ac:dyDescent="0.35">
      <c r="F436" s="19"/>
      <c r="G436" s="20"/>
    </row>
    <row r="437" spans="6:7" s="18" customFormat="1" ht="14.25" customHeight="1" x14ac:dyDescent="0.35">
      <c r="F437" s="19"/>
      <c r="G437" s="20"/>
    </row>
    <row r="438" spans="6:7" s="18" customFormat="1" ht="14.25" customHeight="1" x14ac:dyDescent="0.35">
      <c r="F438" s="19"/>
      <c r="G438" s="20"/>
    </row>
    <row r="439" spans="6:7" s="18" customFormat="1" ht="14.25" customHeight="1" x14ac:dyDescent="0.35">
      <c r="F439" s="19"/>
      <c r="G439" s="20"/>
    </row>
    <row r="440" spans="6:7" s="18" customFormat="1" ht="14.25" customHeight="1" x14ac:dyDescent="0.35">
      <c r="F440" s="19"/>
      <c r="G440" s="20"/>
    </row>
    <row r="441" spans="6:7" s="18" customFormat="1" ht="14.25" customHeight="1" x14ac:dyDescent="0.35">
      <c r="F441" s="19"/>
      <c r="G441" s="20"/>
    </row>
    <row r="442" spans="6:7" s="18" customFormat="1" ht="14.25" customHeight="1" x14ac:dyDescent="0.35">
      <c r="F442" s="19"/>
      <c r="G442" s="20"/>
    </row>
    <row r="443" spans="6:7" s="18" customFormat="1" ht="14.25" customHeight="1" x14ac:dyDescent="0.35">
      <c r="F443" s="19"/>
      <c r="G443" s="20"/>
    </row>
    <row r="444" spans="6:7" s="18" customFormat="1" ht="14.25" customHeight="1" x14ac:dyDescent="0.35">
      <c r="F444" s="19"/>
      <c r="G444" s="20"/>
    </row>
    <row r="445" spans="6:7" s="18" customFormat="1" ht="14.25" customHeight="1" x14ac:dyDescent="0.35">
      <c r="F445" s="19"/>
      <c r="G445" s="20"/>
    </row>
    <row r="446" spans="6:7" s="18" customFormat="1" ht="14.25" customHeight="1" x14ac:dyDescent="0.35">
      <c r="F446" s="19"/>
      <c r="G446" s="20"/>
    </row>
    <row r="447" spans="6:7" s="18" customFormat="1" ht="14.25" customHeight="1" x14ac:dyDescent="0.35">
      <c r="F447" s="19"/>
      <c r="G447" s="20"/>
    </row>
    <row r="448" spans="6:7" s="18" customFormat="1" ht="14.25" customHeight="1" x14ac:dyDescent="0.35">
      <c r="F448" s="19"/>
      <c r="G448" s="20"/>
    </row>
    <row r="449" spans="6:7" s="18" customFormat="1" ht="14.25" customHeight="1" x14ac:dyDescent="0.35">
      <c r="F449" s="19"/>
      <c r="G449" s="20"/>
    </row>
    <row r="450" spans="6:7" s="18" customFormat="1" ht="14.25" customHeight="1" x14ac:dyDescent="0.35">
      <c r="F450" s="19"/>
      <c r="G450" s="20"/>
    </row>
    <row r="451" spans="6:7" s="18" customFormat="1" ht="14.25" customHeight="1" x14ac:dyDescent="0.35">
      <c r="F451" s="19"/>
      <c r="G451" s="20"/>
    </row>
    <row r="452" spans="6:7" s="18" customFormat="1" ht="14.25" customHeight="1" x14ac:dyDescent="0.35">
      <c r="F452" s="19"/>
      <c r="G452" s="20"/>
    </row>
    <row r="453" spans="6:7" s="18" customFormat="1" ht="14.25" customHeight="1" x14ac:dyDescent="0.35">
      <c r="F453" s="19"/>
      <c r="G453" s="20"/>
    </row>
    <row r="454" spans="6:7" s="18" customFormat="1" ht="14.25" customHeight="1" x14ac:dyDescent="0.35">
      <c r="F454" s="19"/>
      <c r="G454" s="20"/>
    </row>
    <row r="455" spans="6:7" s="18" customFormat="1" ht="14.25" customHeight="1" x14ac:dyDescent="0.35">
      <c r="F455" s="19"/>
      <c r="G455" s="20"/>
    </row>
    <row r="456" spans="6:7" s="18" customFormat="1" ht="14.25" customHeight="1" x14ac:dyDescent="0.35">
      <c r="F456" s="19"/>
      <c r="G456" s="20"/>
    </row>
    <row r="457" spans="6:7" s="18" customFormat="1" ht="14.25" customHeight="1" x14ac:dyDescent="0.35">
      <c r="F457" s="19"/>
      <c r="G457" s="20"/>
    </row>
    <row r="458" spans="6:7" s="18" customFormat="1" ht="14.25" customHeight="1" x14ac:dyDescent="0.35">
      <c r="F458" s="19"/>
      <c r="G458" s="20"/>
    </row>
    <row r="459" spans="6:7" s="18" customFormat="1" ht="14.25" customHeight="1" x14ac:dyDescent="0.35">
      <c r="F459" s="19"/>
      <c r="G459" s="20"/>
    </row>
    <row r="460" spans="6:7" s="18" customFormat="1" ht="14.25" customHeight="1" x14ac:dyDescent="0.35">
      <c r="F460" s="19"/>
      <c r="G460" s="20"/>
    </row>
    <row r="461" spans="6:7" s="18" customFormat="1" ht="14.25" customHeight="1" x14ac:dyDescent="0.35">
      <c r="F461" s="19"/>
      <c r="G461" s="20"/>
    </row>
    <row r="462" spans="6:7" s="18" customFormat="1" ht="14.25" customHeight="1" x14ac:dyDescent="0.35">
      <c r="F462" s="19"/>
      <c r="G462" s="20"/>
    </row>
    <row r="463" spans="6:7" s="18" customFormat="1" ht="14.25" customHeight="1" x14ac:dyDescent="0.35">
      <c r="F463" s="19"/>
      <c r="G463" s="20"/>
    </row>
    <row r="464" spans="6:7" s="18" customFormat="1" ht="14.25" customHeight="1" x14ac:dyDescent="0.35">
      <c r="F464" s="19"/>
      <c r="G464" s="20"/>
    </row>
    <row r="465" spans="6:7" s="18" customFormat="1" ht="14.25" customHeight="1" x14ac:dyDescent="0.35">
      <c r="F465" s="19"/>
      <c r="G465" s="20"/>
    </row>
    <row r="466" spans="6:7" s="18" customFormat="1" ht="14.25" customHeight="1" x14ac:dyDescent="0.35">
      <c r="F466" s="19"/>
      <c r="G466" s="20"/>
    </row>
    <row r="467" spans="6:7" s="18" customFormat="1" ht="14.25" customHeight="1" x14ac:dyDescent="0.35">
      <c r="F467" s="19"/>
      <c r="G467" s="20"/>
    </row>
    <row r="468" spans="6:7" s="18" customFormat="1" ht="14.25" customHeight="1" x14ac:dyDescent="0.35">
      <c r="F468" s="19"/>
      <c r="G468" s="20"/>
    </row>
    <row r="469" spans="6:7" s="18" customFormat="1" ht="14.25" customHeight="1" x14ac:dyDescent="0.35">
      <c r="F469" s="19"/>
      <c r="G469" s="20"/>
    </row>
    <row r="470" spans="6:7" s="18" customFormat="1" ht="14.25" customHeight="1" x14ac:dyDescent="0.35">
      <c r="F470" s="19"/>
      <c r="G470" s="20"/>
    </row>
    <row r="471" spans="6:7" s="18" customFormat="1" ht="14.25" customHeight="1" x14ac:dyDescent="0.35">
      <c r="F471" s="19"/>
      <c r="G471" s="20"/>
    </row>
    <row r="472" spans="6:7" s="18" customFormat="1" ht="14.25" customHeight="1" x14ac:dyDescent="0.35">
      <c r="F472" s="19"/>
      <c r="G472" s="20"/>
    </row>
    <row r="473" spans="6:7" s="18" customFormat="1" ht="14.25" customHeight="1" x14ac:dyDescent="0.35">
      <c r="F473" s="19"/>
      <c r="G473" s="20"/>
    </row>
    <row r="474" spans="6:7" s="18" customFormat="1" ht="14.25" customHeight="1" x14ac:dyDescent="0.35">
      <c r="F474" s="19"/>
      <c r="G474" s="20"/>
    </row>
    <row r="475" spans="6:7" s="18" customFormat="1" ht="14.25" customHeight="1" x14ac:dyDescent="0.35">
      <c r="F475" s="19"/>
      <c r="G475" s="20"/>
    </row>
    <row r="476" spans="6:7" s="18" customFormat="1" ht="14.25" customHeight="1" x14ac:dyDescent="0.35">
      <c r="F476" s="19"/>
      <c r="G476" s="20"/>
    </row>
    <row r="477" spans="6:7" s="18" customFormat="1" ht="14.25" customHeight="1" x14ac:dyDescent="0.35">
      <c r="F477" s="19"/>
      <c r="G477" s="20"/>
    </row>
    <row r="478" spans="6:7" s="18" customFormat="1" ht="14.25" customHeight="1" x14ac:dyDescent="0.35">
      <c r="F478" s="19"/>
      <c r="G478" s="20"/>
    </row>
    <row r="479" spans="6:7" s="18" customFormat="1" ht="14.25" customHeight="1" x14ac:dyDescent="0.35">
      <c r="F479" s="19"/>
      <c r="G479" s="20"/>
    </row>
    <row r="480" spans="6:7" s="18" customFormat="1" ht="14.25" customHeight="1" x14ac:dyDescent="0.35">
      <c r="F480" s="19"/>
      <c r="G480" s="20"/>
    </row>
    <row r="481" spans="6:7" s="18" customFormat="1" ht="14.25" customHeight="1" x14ac:dyDescent="0.35">
      <c r="F481" s="19"/>
      <c r="G481" s="20"/>
    </row>
    <row r="482" spans="6:7" s="18" customFormat="1" ht="14.25" customHeight="1" x14ac:dyDescent="0.35">
      <c r="F482" s="19"/>
      <c r="G482" s="20"/>
    </row>
    <row r="483" spans="6:7" s="18" customFormat="1" ht="14.25" customHeight="1" x14ac:dyDescent="0.35">
      <c r="F483" s="19"/>
      <c r="G483" s="20"/>
    </row>
    <row r="484" spans="6:7" s="18" customFormat="1" ht="14.25" customHeight="1" x14ac:dyDescent="0.35">
      <c r="F484" s="19"/>
      <c r="G484" s="20"/>
    </row>
    <row r="485" spans="6:7" s="18" customFormat="1" ht="14.25" customHeight="1" x14ac:dyDescent="0.35">
      <c r="F485" s="19"/>
      <c r="G485" s="20"/>
    </row>
    <row r="486" spans="6:7" s="18" customFormat="1" ht="14.25" customHeight="1" x14ac:dyDescent="0.35">
      <c r="F486" s="19"/>
      <c r="G486" s="20"/>
    </row>
    <row r="487" spans="6:7" s="18" customFormat="1" ht="14.25" customHeight="1" x14ac:dyDescent="0.35">
      <c r="F487" s="19"/>
      <c r="G487" s="20"/>
    </row>
    <row r="488" spans="6:7" s="18" customFormat="1" ht="14.25" customHeight="1" x14ac:dyDescent="0.35">
      <c r="F488" s="19"/>
      <c r="G488" s="20"/>
    </row>
    <row r="489" spans="6:7" s="18" customFormat="1" ht="14.25" customHeight="1" x14ac:dyDescent="0.35">
      <c r="F489" s="19"/>
      <c r="G489" s="20"/>
    </row>
    <row r="490" spans="6:7" s="18" customFormat="1" ht="14.25" customHeight="1" x14ac:dyDescent="0.35">
      <c r="F490" s="19"/>
      <c r="G490" s="20"/>
    </row>
    <row r="491" spans="6:7" s="18" customFormat="1" ht="14.25" customHeight="1" x14ac:dyDescent="0.35">
      <c r="F491" s="19"/>
      <c r="G491" s="20"/>
    </row>
    <row r="492" spans="6:7" s="18" customFormat="1" ht="14.25" customHeight="1" x14ac:dyDescent="0.35">
      <c r="F492" s="19"/>
      <c r="G492" s="20"/>
    </row>
    <row r="493" spans="6:7" s="18" customFormat="1" ht="14.25" customHeight="1" x14ac:dyDescent="0.35">
      <c r="F493" s="19"/>
      <c r="G493" s="20"/>
    </row>
    <row r="494" spans="6:7" ht="14.25" customHeight="1" x14ac:dyDescent="0.35">
      <c r="F494" s="2"/>
      <c r="G494" s="3"/>
    </row>
    <row r="495" spans="6:7" ht="14.25" customHeight="1" x14ac:dyDescent="0.35">
      <c r="F495" s="2"/>
      <c r="G495" s="3"/>
    </row>
    <row r="496" spans="6:7" ht="14.25" customHeight="1" x14ac:dyDescent="0.35">
      <c r="F496" s="2"/>
      <c r="G496" s="3"/>
    </row>
    <row r="497" spans="6:7" ht="14.25" customHeight="1" x14ac:dyDescent="0.35">
      <c r="F497" s="2"/>
      <c r="G497" s="3"/>
    </row>
    <row r="498" spans="6:7" ht="14.25" customHeight="1" x14ac:dyDescent="0.35">
      <c r="F498" s="2"/>
      <c r="G498" s="3"/>
    </row>
    <row r="499" spans="6:7" ht="14.25" customHeight="1" x14ac:dyDescent="0.35">
      <c r="F499" s="2"/>
      <c r="G499" s="3"/>
    </row>
    <row r="500" spans="6:7" ht="14.25" customHeight="1" x14ac:dyDescent="0.35">
      <c r="F500" s="2"/>
      <c r="G500" s="3"/>
    </row>
    <row r="501" spans="6:7" ht="14.25" customHeight="1" x14ac:dyDescent="0.35">
      <c r="F501" s="2"/>
      <c r="G501" s="3"/>
    </row>
    <row r="502" spans="6:7" ht="14.25" customHeight="1" x14ac:dyDescent="0.35">
      <c r="F502" s="2"/>
      <c r="G502" s="3"/>
    </row>
    <row r="503" spans="6:7" ht="14.25" customHeight="1" x14ac:dyDescent="0.35">
      <c r="F503" s="2"/>
      <c r="G503" s="3"/>
    </row>
    <row r="504" spans="6:7" ht="14.25" customHeight="1" x14ac:dyDescent="0.35">
      <c r="F504" s="2"/>
      <c r="G504" s="3"/>
    </row>
    <row r="505" spans="6:7" ht="14.25" customHeight="1" x14ac:dyDescent="0.35">
      <c r="F505" s="2"/>
      <c r="G505" s="3"/>
    </row>
    <row r="506" spans="6:7" ht="14.25" customHeight="1" x14ac:dyDescent="0.35">
      <c r="F506" s="2"/>
      <c r="G506" s="3"/>
    </row>
    <row r="507" spans="6:7" ht="14.25" customHeight="1" x14ac:dyDescent="0.35">
      <c r="F507" s="2"/>
      <c r="G507" s="3"/>
    </row>
    <row r="508" spans="6:7" ht="14.25" customHeight="1" x14ac:dyDescent="0.35">
      <c r="F508" s="2"/>
      <c r="G508" s="3"/>
    </row>
    <row r="509" spans="6:7" ht="14.25" customHeight="1" x14ac:dyDescent="0.35">
      <c r="F509" s="2"/>
      <c r="G509" s="3"/>
    </row>
    <row r="510" spans="6:7" ht="14.25" customHeight="1" x14ac:dyDescent="0.35">
      <c r="F510" s="2"/>
      <c r="G510" s="3"/>
    </row>
    <row r="511" spans="6:7" ht="14.25" customHeight="1" x14ac:dyDescent="0.35">
      <c r="F511" s="2"/>
      <c r="G511" s="3"/>
    </row>
    <row r="512" spans="6:7" ht="14.25" customHeight="1" x14ac:dyDescent="0.35">
      <c r="F512" s="2"/>
      <c r="G512" s="3"/>
    </row>
    <row r="513" spans="6:7" ht="14.25" customHeight="1" x14ac:dyDescent="0.35">
      <c r="F513" s="2"/>
      <c r="G513" s="3"/>
    </row>
    <row r="514" spans="6:7" ht="14.25" customHeight="1" x14ac:dyDescent="0.35">
      <c r="F514" s="2"/>
      <c r="G514" s="3"/>
    </row>
    <row r="515" spans="6:7" ht="14.25" customHeight="1" x14ac:dyDescent="0.35">
      <c r="F515" s="2"/>
      <c r="G515" s="3"/>
    </row>
    <row r="516" spans="6:7" ht="14.25" customHeight="1" x14ac:dyDescent="0.35">
      <c r="F516" s="2"/>
      <c r="G516" s="3"/>
    </row>
    <row r="517" spans="6:7" ht="14.25" customHeight="1" x14ac:dyDescent="0.35">
      <c r="F517" s="2"/>
      <c r="G517" s="3"/>
    </row>
    <row r="518" spans="6:7" ht="14.25" customHeight="1" x14ac:dyDescent="0.35">
      <c r="F518" s="2"/>
      <c r="G518" s="3"/>
    </row>
    <row r="519" spans="6:7" ht="14.25" customHeight="1" x14ac:dyDescent="0.35">
      <c r="F519" s="2"/>
      <c r="G519" s="3"/>
    </row>
    <row r="520" spans="6:7" ht="14.25" customHeight="1" x14ac:dyDescent="0.35">
      <c r="F520" s="2"/>
      <c r="G520" s="3"/>
    </row>
    <row r="521" spans="6:7" ht="14.25" customHeight="1" x14ac:dyDescent="0.35">
      <c r="F521" s="2"/>
      <c r="G521" s="3"/>
    </row>
    <row r="522" spans="6:7" ht="14.25" customHeight="1" x14ac:dyDescent="0.35">
      <c r="F522" s="2"/>
      <c r="G522" s="3"/>
    </row>
    <row r="523" spans="6:7" ht="14.25" customHeight="1" x14ac:dyDescent="0.35">
      <c r="F523" s="2"/>
      <c r="G523" s="3"/>
    </row>
    <row r="524" spans="6:7" ht="14.25" customHeight="1" x14ac:dyDescent="0.35">
      <c r="F524" s="2"/>
      <c r="G524" s="3"/>
    </row>
    <row r="525" spans="6:7" ht="14.25" customHeight="1" x14ac:dyDescent="0.35">
      <c r="F525" s="2"/>
      <c r="G525" s="3"/>
    </row>
    <row r="526" spans="6:7" ht="14.25" customHeight="1" x14ac:dyDescent="0.35">
      <c r="F526" s="2"/>
      <c r="G526" s="3"/>
    </row>
    <row r="527" spans="6:7" ht="14.25" customHeight="1" x14ac:dyDescent="0.35">
      <c r="F527" s="2"/>
      <c r="G527" s="3"/>
    </row>
    <row r="528" spans="6:7" ht="14.25" customHeight="1" x14ac:dyDescent="0.35">
      <c r="F528" s="2"/>
      <c r="G528" s="3"/>
    </row>
    <row r="529" spans="6:7" ht="14.25" customHeight="1" x14ac:dyDescent="0.35">
      <c r="F529" s="2"/>
      <c r="G529" s="3"/>
    </row>
    <row r="530" spans="6:7" ht="14.25" customHeight="1" x14ac:dyDescent="0.35">
      <c r="F530" s="2"/>
      <c r="G530" s="3"/>
    </row>
    <row r="531" spans="6:7" ht="14.25" customHeight="1" x14ac:dyDescent="0.35">
      <c r="F531" s="2"/>
      <c r="G531" s="3"/>
    </row>
    <row r="532" spans="6:7" ht="14.25" customHeight="1" x14ac:dyDescent="0.35">
      <c r="F532" s="2"/>
      <c r="G532" s="3"/>
    </row>
    <row r="533" spans="6:7" ht="14.25" customHeight="1" x14ac:dyDescent="0.35">
      <c r="F533" s="2"/>
      <c r="G533" s="3"/>
    </row>
    <row r="534" spans="6:7" ht="14.25" customHeight="1" x14ac:dyDescent="0.35">
      <c r="F534" s="2"/>
      <c r="G534" s="3"/>
    </row>
    <row r="535" spans="6:7" ht="14.25" customHeight="1" x14ac:dyDescent="0.35">
      <c r="F535" s="2"/>
      <c r="G535" s="3"/>
    </row>
    <row r="536" spans="6:7" ht="14.25" customHeight="1" x14ac:dyDescent="0.35">
      <c r="F536" s="2"/>
      <c r="G536" s="3"/>
    </row>
    <row r="537" spans="6:7" ht="14.25" customHeight="1" x14ac:dyDescent="0.35">
      <c r="F537" s="2"/>
      <c r="G537" s="3"/>
    </row>
    <row r="538" spans="6:7" ht="14.25" customHeight="1" x14ac:dyDescent="0.35">
      <c r="F538" s="2"/>
      <c r="G538" s="3"/>
    </row>
    <row r="539" spans="6:7" ht="14.25" customHeight="1" x14ac:dyDescent="0.35">
      <c r="F539" s="2"/>
      <c r="G539" s="3"/>
    </row>
    <row r="540" spans="6:7" ht="14.25" customHeight="1" x14ac:dyDescent="0.35">
      <c r="F540" s="2"/>
      <c r="G540" s="3"/>
    </row>
    <row r="541" spans="6:7" ht="14.25" customHeight="1" x14ac:dyDescent="0.35">
      <c r="F541" s="2"/>
      <c r="G541" s="3"/>
    </row>
    <row r="542" spans="6:7" ht="14.25" customHeight="1" x14ac:dyDescent="0.35">
      <c r="F542" s="2"/>
      <c r="G542" s="3"/>
    </row>
    <row r="543" spans="6:7" ht="14.25" customHeight="1" x14ac:dyDescent="0.35">
      <c r="F543" s="2"/>
      <c r="G543" s="3"/>
    </row>
    <row r="544" spans="6:7" ht="14.25" customHeight="1" x14ac:dyDescent="0.35">
      <c r="F544" s="2"/>
      <c r="G544" s="3"/>
    </row>
    <row r="545" spans="6:7" ht="14.25" customHeight="1" x14ac:dyDescent="0.35">
      <c r="F545" s="2"/>
      <c r="G545" s="3"/>
    </row>
    <row r="546" spans="6:7" ht="14.25" customHeight="1" x14ac:dyDescent="0.35">
      <c r="F546" s="2"/>
      <c r="G546" s="3"/>
    </row>
    <row r="547" spans="6:7" ht="14.25" customHeight="1" x14ac:dyDescent="0.35">
      <c r="F547" s="2"/>
      <c r="G547" s="3"/>
    </row>
    <row r="548" spans="6:7" ht="14.25" customHeight="1" x14ac:dyDescent="0.35">
      <c r="F548" s="2"/>
      <c r="G548" s="3"/>
    </row>
    <row r="549" spans="6:7" ht="14.25" customHeight="1" x14ac:dyDescent="0.35">
      <c r="F549" s="2"/>
      <c r="G549" s="3"/>
    </row>
    <row r="550" spans="6:7" ht="14.25" customHeight="1" x14ac:dyDescent="0.35">
      <c r="F550" s="2"/>
      <c r="G550" s="3"/>
    </row>
    <row r="551" spans="6:7" ht="14.25" customHeight="1" x14ac:dyDescent="0.35">
      <c r="F551" s="2"/>
      <c r="G551" s="3"/>
    </row>
    <row r="552" spans="6:7" ht="14.25" customHeight="1" x14ac:dyDescent="0.35">
      <c r="F552" s="2"/>
      <c r="G552" s="3"/>
    </row>
    <row r="553" spans="6:7" ht="14.25" customHeight="1" x14ac:dyDescent="0.35">
      <c r="F553" s="2"/>
      <c r="G553" s="3"/>
    </row>
    <row r="554" spans="6:7" ht="14.25" customHeight="1" x14ac:dyDescent="0.35">
      <c r="F554" s="2"/>
      <c r="G554" s="3"/>
    </row>
    <row r="555" spans="6:7" ht="14.25" customHeight="1" x14ac:dyDescent="0.35">
      <c r="F555" s="2"/>
      <c r="G555" s="3"/>
    </row>
    <row r="556" spans="6:7" ht="14.25" customHeight="1" x14ac:dyDescent="0.35">
      <c r="F556" s="2"/>
      <c r="G556" s="3"/>
    </row>
    <row r="557" spans="6:7" ht="14.25" customHeight="1" x14ac:dyDescent="0.35">
      <c r="F557" s="2"/>
      <c r="G557" s="3"/>
    </row>
    <row r="558" spans="6:7" ht="14.25" customHeight="1" x14ac:dyDescent="0.35">
      <c r="F558" s="2"/>
      <c r="G558" s="3"/>
    </row>
    <row r="559" spans="6:7" ht="14.25" customHeight="1" x14ac:dyDescent="0.35">
      <c r="F559" s="2"/>
      <c r="G559" s="3"/>
    </row>
    <row r="560" spans="6:7" ht="14.25" customHeight="1" x14ac:dyDescent="0.35">
      <c r="F560" s="2"/>
      <c r="G560" s="3"/>
    </row>
    <row r="561" spans="6:7" ht="14.25" customHeight="1" x14ac:dyDescent="0.35">
      <c r="F561" s="2"/>
      <c r="G561" s="3"/>
    </row>
    <row r="562" spans="6:7" ht="14.25" customHeight="1" x14ac:dyDescent="0.35">
      <c r="F562" s="2"/>
      <c r="G562" s="3"/>
    </row>
    <row r="563" spans="6:7" ht="14.25" customHeight="1" x14ac:dyDescent="0.35">
      <c r="F563" s="2"/>
      <c r="G563" s="3"/>
    </row>
    <row r="564" spans="6:7" ht="14.25" customHeight="1" x14ac:dyDescent="0.35">
      <c r="F564" s="2"/>
      <c r="G564" s="3"/>
    </row>
    <row r="565" spans="6:7" ht="14.25" customHeight="1" x14ac:dyDescent="0.35">
      <c r="F565" s="2"/>
      <c r="G565" s="3"/>
    </row>
    <row r="566" spans="6:7" ht="14.25" customHeight="1" x14ac:dyDescent="0.35">
      <c r="F566" s="2"/>
      <c r="G566" s="3"/>
    </row>
    <row r="567" spans="6:7" ht="14.25" customHeight="1" x14ac:dyDescent="0.35">
      <c r="F567" s="2"/>
      <c r="G567" s="3"/>
    </row>
    <row r="568" spans="6:7" ht="14.25" customHeight="1" x14ac:dyDescent="0.35">
      <c r="F568" s="2"/>
      <c r="G568" s="3"/>
    </row>
    <row r="569" spans="6:7" ht="14.25" customHeight="1" x14ac:dyDescent="0.35">
      <c r="F569" s="2"/>
      <c r="G569" s="3"/>
    </row>
    <row r="570" spans="6:7" ht="14.25" customHeight="1" x14ac:dyDescent="0.35">
      <c r="F570" s="2"/>
      <c r="G570" s="3"/>
    </row>
    <row r="571" spans="6:7" ht="14.25" customHeight="1" x14ac:dyDescent="0.35">
      <c r="F571" s="2"/>
      <c r="G571" s="3"/>
    </row>
    <row r="572" spans="6:7" ht="14.25" customHeight="1" x14ac:dyDescent="0.35">
      <c r="F572" s="2"/>
      <c r="G572" s="3"/>
    </row>
    <row r="573" spans="6:7" ht="14.25" customHeight="1" x14ac:dyDescent="0.35">
      <c r="F573" s="2"/>
      <c r="G573" s="3"/>
    </row>
    <row r="574" spans="6:7" ht="14.25" customHeight="1" x14ac:dyDescent="0.35">
      <c r="F574" s="2"/>
      <c r="G574" s="3"/>
    </row>
    <row r="575" spans="6:7" ht="14.25" customHeight="1" x14ac:dyDescent="0.35">
      <c r="F575" s="2"/>
      <c r="G575" s="3"/>
    </row>
    <row r="576" spans="6:7" ht="14.25" customHeight="1" x14ac:dyDescent="0.35">
      <c r="F576" s="2"/>
      <c r="G576" s="3"/>
    </row>
    <row r="577" spans="6:7" ht="14.25" customHeight="1" x14ac:dyDescent="0.35">
      <c r="F577" s="2"/>
      <c r="G577" s="3"/>
    </row>
    <row r="578" spans="6:7" ht="14.25" customHeight="1" x14ac:dyDescent="0.35">
      <c r="F578" s="2"/>
      <c r="G578" s="3"/>
    </row>
    <row r="579" spans="6:7" ht="14.25" customHeight="1" x14ac:dyDescent="0.35">
      <c r="F579" s="2"/>
      <c r="G579" s="3"/>
    </row>
    <row r="580" spans="6:7" ht="14.25" customHeight="1" x14ac:dyDescent="0.35">
      <c r="F580" s="2"/>
      <c r="G580" s="3"/>
    </row>
    <row r="581" spans="6:7" ht="14.25" customHeight="1" x14ac:dyDescent="0.35">
      <c r="F581" s="2"/>
      <c r="G581" s="3"/>
    </row>
    <row r="582" spans="6:7" ht="14.25" customHeight="1" x14ac:dyDescent="0.35">
      <c r="F582" s="2"/>
      <c r="G582" s="3"/>
    </row>
    <row r="583" spans="6:7" ht="14.25" customHeight="1" x14ac:dyDescent="0.35">
      <c r="F583" s="2"/>
      <c r="G583" s="3"/>
    </row>
    <row r="584" spans="6:7" ht="14.25" customHeight="1" x14ac:dyDescent="0.35">
      <c r="F584" s="2"/>
      <c r="G584" s="3"/>
    </row>
    <row r="585" spans="6:7" ht="14.25" customHeight="1" x14ac:dyDescent="0.35">
      <c r="F585" s="2"/>
      <c r="G585" s="3"/>
    </row>
    <row r="586" spans="6:7" ht="14.25" customHeight="1" x14ac:dyDescent="0.35">
      <c r="F586" s="2"/>
      <c r="G586" s="3"/>
    </row>
    <row r="587" spans="6:7" ht="14.25" customHeight="1" x14ac:dyDescent="0.35">
      <c r="F587" s="2"/>
      <c r="G587" s="3"/>
    </row>
    <row r="588" spans="6:7" ht="14.25" customHeight="1" x14ac:dyDescent="0.35">
      <c r="F588" s="2"/>
      <c r="G588" s="3"/>
    </row>
    <row r="589" spans="6:7" ht="14.25" customHeight="1" x14ac:dyDescent="0.35">
      <c r="F589" s="2"/>
      <c r="G589" s="3"/>
    </row>
    <row r="590" spans="6:7" ht="14.25" customHeight="1" x14ac:dyDescent="0.35">
      <c r="F590" s="2"/>
      <c r="G590" s="3"/>
    </row>
    <row r="591" spans="6:7" ht="14.25" customHeight="1" x14ac:dyDescent="0.35">
      <c r="F591" s="2"/>
      <c r="G591" s="3"/>
    </row>
    <row r="592" spans="6:7" ht="14.25" customHeight="1" x14ac:dyDescent="0.35">
      <c r="F592" s="2"/>
      <c r="G592" s="3"/>
    </row>
    <row r="593" spans="6:7" ht="14.25" customHeight="1" x14ac:dyDescent="0.35">
      <c r="F593" s="2"/>
      <c r="G593" s="3"/>
    </row>
    <row r="594" spans="6:7" ht="14.25" customHeight="1" x14ac:dyDescent="0.35">
      <c r="F594" s="2"/>
      <c r="G594" s="3"/>
    </row>
    <row r="595" spans="6:7" ht="14.25" customHeight="1" x14ac:dyDescent="0.35">
      <c r="F595" s="2"/>
      <c r="G595" s="3"/>
    </row>
    <row r="596" spans="6:7" ht="14.25" customHeight="1" x14ac:dyDescent="0.35">
      <c r="F596" s="2"/>
      <c r="G596" s="3"/>
    </row>
    <row r="597" spans="6:7" ht="14.25" customHeight="1" x14ac:dyDescent="0.35">
      <c r="F597" s="2"/>
      <c r="G597" s="3"/>
    </row>
    <row r="598" spans="6:7" ht="14.25" customHeight="1" x14ac:dyDescent="0.35">
      <c r="F598" s="2"/>
      <c r="G598" s="3"/>
    </row>
    <row r="599" spans="6:7" ht="14.25" customHeight="1" x14ac:dyDescent="0.35">
      <c r="F599" s="2"/>
      <c r="G599" s="3"/>
    </row>
    <row r="600" spans="6:7" ht="14.25" customHeight="1" x14ac:dyDescent="0.35">
      <c r="F600" s="2"/>
      <c r="G600" s="3"/>
    </row>
    <row r="601" spans="6:7" ht="14.25" customHeight="1" x14ac:dyDescent="0.35">
      <c r="F601" s="2"/>
      <c r="G601" s="3"/>
    </row>
    <row r="602" spans="6:7" ht="14.25" customHeight="1" x14ac:dyDescent="0.35">
      <c r="F602" s="2"/>
      <c r="G602" s="3"/>
    </row>
    <row r="603" spans="6:7" ht="14.25" customHeight="1" x14ac:dyDescent="0.35">
      <c r="F603" s="2"/>
      <c r="G603" s="3"/>
    </row>
    <row r="604" spans="6:7" ht="14.25" customHeight="1" x14ac:dyDescent="0.35">
      <c r="F604" s="2"/>
      <c r="G604" s="3"/>
    </row>
    <row r="605" spans="6:7" ht="14.25" customHeight="1" x14ac:dyDescent="0.35">
      <c r="F605" s="2"/>
      <c r="G605" s="3"/>
    </row>
    <row r="606" spans="6:7" ht="14.25" customHeight="1" x14ac:dyDescent="0.35">
      <c r="F606" s="2"/>
      <c r="G606" s="3"/>
    </row>
    <row r="607" spans="6:7" ht="14.25" customHeight="1" x14ac:dyDescent="0.35">
      <c r="F607" s="2"/>
      <c r="G607" s="3"/>
    </row>
    <row r="608" spans="6:7" ht="14.25" customHeight="1" x14ac:dyDescent="0.35">
      <c r="F608" s="2"/>
      <c r="G608" s="3"/>
    </row>
    <row r="609" spans="6:7" ht="14.25" customHeight="1" x14ac:dyDescent="0.35">
      <c r="F609" s="2"/>
      <c r="G609" s="3"/>
    </row>
    <row r="610" spans="6:7" ht="14.25" customHeight="1" x14ac:dyDescent="0.35">
      <c r="F610" s="2"/>
      <c r="G610" s="3"/>
    </row>
    <row r="611" spans="6:7" ht="14.25" customHeight="1" x14ac:dyDescent="0.35">
      <c r="F611" s="2"/>
      <c r="G611" s="3"/>
    </row>
    <row r="612" spans="6:7" ht="14.25" customHeight="1" x14ac:dyDescent="0.35">
      <c r="F612" s="2"/>
      <c r="G612" s="3"/>
    </row>
    <row r="613" spans="6:7" ht="14.25" customHeight="1" x14ac:dyDescent="0.35">
      <c r="F613" s="2"/>
      <c r="G613" s="3"/>
    </row>
    <row r="614" spans="6:7" ht="14.25" customHeight="1" x14ac:dyDescent="0.35">
      <c r="F614" s="2"/>
      <c r="G614" s="3"/>
    </row>
    <row r="615" spans="6:7" ht="14.25" customHeight="1" x14ac:dyDescent="0.35">
      <c r="F615" s="2"/>
      <c r="G615" s="3"/>
    </row>
    <row r="616" spans="6:7" ht="14.25" customHeight="1" x14ac:dyDescent="0.35">
      <c r="F616" s="2"/>
      <c r="G616" s="3"/>
    </row>
    <row r="617" spans="6:7" ht="14.25" customHeight="1" x14ac:dyDescent="0.35">
      <c r="F617" s="2"/>
      <c r="G617" s="3"/>
    </row>
    <row r="618" spans="6:7" ht="14.25" customHeight="1" x14ac:dyDescent="0.35">
      <c r="F618" s="2"/>
      <c r="G618" s="3"/>
    </row>
    <row r="619" spans="6:7" ht="14.25" customHeight="1" x14ac:dyDescent="0.35">
      <c r="F619" s="2"/>
      <c r="G619" s="3"/>
    </row>
    <row r="620" spans="6:7" ht="14.25" customHeight="1" x14ac:dyDescent="0.35">
      <c r="F620" s="2"/>
      <c r="G620" s="3"/>
    </row>
    <row r="621" spans="6:7" ht="14.25" customHeight="1" x14ac:dyDescent="0.35">
      <c r="F621" s="2"/>
      <c r="G621" s="3"/>
    </row>
    <row r="622" spans="6:7" ht="14.25" customHeight="1" x14ac:dyDescent="0.35">
      <c r="F622" s="2"/>
      <c r="G622" s="3"/>
    </row>
    <row r="623" spans="6:7" ht="14.25" customHeight="1" x14ac:dyDescent="0.35">
      <c r="F623" s="2"/>
      <c r="G623" s="3"/>
    </row>
    <row r="624" spans="6:7" ht="14.25" customHeight="1" x14ac:dyDescent="0.35">
      <c r="F624" s="2"/>
      <c r="G624" s="3"/>
    </row>
    <row r="625" spans="6:7" ht="14.25" customHeight="1" x14ac:dyDescent="0.35">
      <c r="F625" s="2"/>
      <c r="G625" s="3"/>
    </row>
    <row r="626" spans="6:7" ht="14.25" customHeight="1" x14ac:dyDescent="0.35">
      <c r="F626" s="2"/>
      <c r="G626" s="3"/>
    </row>
    <row r="627" spans="6:7" ht="14.25" customHeight="1" x14ac:dyDescent="0.35">
      <c r="F627" s="2"/>
      <c r="G627" s="3"/>
    </row>
    <row r="628" spans="6:7" ht="14.25" customHeight="1" x14ac:dyDescent="0.35">
      <c r="F628" s="2"/>
      <c r="G628" s="3"/>
    </row>
    <row r="629" spans="6:7" ht="14.25" customHeight="1" x14ac:dyDescent="0.35">
      <c r="F629" s="2"/>
      <c r="G629" s="3"/>
    </row>
    <row r="630" spans="6:7" ht="14.25" customHeight="1" x14ac:dyDescent="0.35">
      <c r="F630" s="2"/>
      <c r="G630" s="3"/>
    </row>
    <row r="631" spans="6:7" ht="14.25" customHeight="1" x14ac:dyDescent="0.35">
      <c r="F631" s="2"/>
      <c r="G631" s="3"/>
    </row>
    <row r="632" spans="6:7" ht="14.25" customHeight="1" x14ac:dyDescent="0.35">
      <c r="F632" s="2"/>
      <c r="G632" s="3"/>
    </row>
    <row r="633" spans="6:7" ht="14.25" customHeight="1" x14ac:dyDescent="0.35">
      <c r="F633" s="2"/>
      <c r="G633" s="3"/>
    </row>
    <row r="634" spans="6:7" ht="14.25" customHeight="1" x14ac:dyDescent="0.35">
      <c r="F634" s="2"/>
      <c r="G634" s="3"/>
    </row>
    <row r="635" spans="6:7" ht="14.25" customHeight="1" x14ac:dyDescent="0.35">
      <c r="F635" s="2"/>
      <c r="G635" s="3"/>
    </row>
    <row r="636" spans="6:7" ht="14.25" customHeight="1" x14ac:dyDescent="0.35">
      <c r="F636" s="2"/>
      <c r="G636" s="3"/>
    </row>
    <row r="637" spans="6:7" ht="14.25" customHeight="1" x14ac:dyDescent="0.35">
      <c r="F637" s="2"/>
      <c r="G637" s="3"/>
    </row>
    <row r="638" spans="6:7" ht="14.25" customHeight="1" x14ac:dyDescent="0.35">
      <c r="F638" s="2"/>
      <c r="G638" s="3"/>
    </row>
    <row r="639" spans="6:7" ht="14.25" customHeight="1" x14ac:dyDescent="0.35">
      <c r="F639" s="2"/>
      <c r="G639" s="3"/>
    </row>
    <row r="640" spans="6:7" ht="14.25" customHeight="1" x14ac:dyDescent="0.35">
      <c r="F640" s="2"/>
      <c r="G640" s="3"/>
    </row>
    <row r="641" spans="6:7" ht="14.25" customHeight="1" x14ac:dyDescent="0.35">
      <c r="F641" s="2"/>
      <c r="G641" s="3"/>
    </row>
    <row r="642" spans="6:7" ht="14.25" customHeight="1" x14ac:dyDescent="0.35">
      <c r="F642" s="2"/>
      <c r="G642" s="3"/>
    </row>
    <row r="643" spans="6:7" ht="14.25" customHeight="1" x14ac:dyDescent="0.35">
      <c r="F643" s="2"/>
      <c r="G643" s="3"/>
    </row>
    <row r="644" spans="6:7" ht="14.25" customHeight="1" x14ac:dyDescent="0.35">
      <c r="F644" s="2"/>
      <c r="G644" s="3"/>
    </row>
    <row r="645" spans="6:7" ht="14.25" customHeight="1" x14ac:dyDescent="0.35">
      <c r="F645" s="2"/>
      <c r="G645" s="3"/>
    </row>
    <row r="646" spans="6:7" ht="14.25" customHeight="1" x14ac:dyDescent="0.35">
      <c r="F646" s="2"/>
      <c r="G646" s="3"/>
    </row>
    <row r="647" spans="6:7" ht="14.25" customHeight="1" x14ac:dyDescent="0.35">
      <c r="F647" s="2"/>
      <c r="G647" s="3"/>
    </row>
    <row r="648" spans="6:7" ht="14.25" customHeight="1" x14ac:dyDescent="0.35">
      <c r="F648" s="2"/>
      <c r="G648" s="3"/>
    </row>
    <row r="649" spans="6:7" ht="14.25" customHeight="1" x14ac:dyDescent="0.35">
      <c r="F649" s="2"/>
      <c r="G649" s="3"/>
    </row>
    <row r="650" spans="6:7" ht="14.25" customHeight="1" x14ac:dyDescent="0.35">
      <c r="F650" s="2"/>
      <c r="G650" s="3"/>
    </row>
    <row r="651" spans="6:7" ht="14.25" customHeight="1" x14ac:dyDescent="0.35">
      <c r="F651" s="2"/>
      <c r="G651" s="3"/>
    </row>
    <row r="652" spans="6:7" ht="14.25" customHeight="1" x14ac:dyDescent="0.35">
      <c r="F652" s="2"/>
      <c r="G652" s="3"/>
    </row>
    <row r="653" spans="6:7" ht="14.25" customHeight="1" x14ac:dyDescent="0.35">
      <c r="F653" s="2"/>
      <c r="G653" s="3"/>
    </row>
    <row r="654" spans="6:7" ht="14.25" customHeight="1" x14ac:dyDescent="0.35">
      <c r="F654" s="2"/>
      <c r="G654" s="3"/>
    </row>
    <row r="655" spans="6:7" ht="14.25" customHeight="1" x14ac:dyDescent="0.35">
      <c r="F655" s="2"/>
      <c r="G655" s="3"/>
    </row>
    <row r="656" spans="6:7" ht="14.25" customHeight="1" x14ac:dyDescent="0.35">
      <c r="F656" s="2"/>
      <c r="G656" s="3"/>
    </row>
    <row r="657" spans="6:7" ht="14.25" customHeight="1" x14ac:dyDescent="0.35">
      <c r="F657" s="2"/>
      <c r="G657" s="3"/>
    </row>
    <row r="658" spans="6:7" ht="14.25" customHeight="1" x14ac:dyDescent="0.35">
      <c r="F658" s="2"/>
      <c r="G658" s="3"/>
    </row>
    <row r="659" spans="6:7" ht="14.25" customHeight="1" x14ac:dyDescent="0.35">
      <c r="F659" s="2"/>
      <c r="G659" s="3"/>
    </row>
    <row r="660" spans="6:7" ht="14.25" customHeight="1" x14ac:dyDescent="0.35">
      <c r="F660" s="2"/>
      <c r="G660" s="3"/>
    </row>
    <row r="661" spans="6:7" ht="14.25" customHeight="1" x14ac:dyDescent="0.35">
      <c r="F661" s="2"/>
      <c r="G661" s="3"/>
    </row>
    <row r="662" spans="6:7" ht="14.25" customHeight="1" x14ac:dyDescent="0.35">
      <c r="F662" s="2"/>
      <c r="G662" s="3"/>
    </row>
    <row r="663" spans="6:7" ht="14.25" customHeight="1" x14ac:dyDescent="0.35">
      <c r="F663" s="2"/>
      <c r="G663" s="3"/>
    </row>
    <row r="664" spans="6:7" ht="14.25" customHeight="1" x14ac:dyDescent="0.35">
      <c r="F664" s="2"/>
      <c r="G664" s="3"/>
    </row>
    <row r="665" spans="6:7" ht="14.25" customHeight="1" x14ac:dyDescent="0.35">
      <c r="F665" s="2"/>
      <c r="G665" s="3"/>
    </row>
    <row r="666" spans="6:7" ht="14.25" customHeight="1" x14ac:dyDescent="0.35">
      <c r="F666" s="2"/>
      <c r="G666" s="3"/>
    </row>
    <row r="667" spans="6:7" ht="14.25" customHeight="1" x14ac:dyDescent="0.35">
      <c r="F667" s="2"/>
      <c r="G667" s="3"/>
    </row>
    <row r="668" spans="6:7" ht="14.25" customHeight="1" x14ac:dyDescent="0.35">
      <c r="F668" s="2"/>
      <c r="G668" s="3"/>
    </row>
    <row r="669" spans="6:7" ht="14.25" customHeight="1" x14ac:dyDescent="0.35">
      <c r="F669" s="2"/>
      <c r="G669" s="3"/>
    </row>
    <row r="670" spans="6:7" ht="14.25" customHeight="1" x14ac:dyDescent="0.35">
      <c r="F670" s="2"/>
      <c r="G670" s="3"/>
    </row>
    <row r="671" spans="6:7" ht="14.25" customHeight="1" x14ac:dyDescent="0.35">
      <c r="F671" s="2"/>
      <c r="G671" s="3"/>
    </row>
    <row r="672" spans="6:7" ht="14.25" customHeight="1" x14ac:dyDescent="0.35">
      <c r="F672" s="2"/>
      <c r="G672" s="3"/>
    </row>
    <row r="673" spans="6:7" ht="14.25" customHeight="1" x14ac:dyDescent="0.35">
      <c r="F673" s="2"/>
      <c r="G673" s="3"/>
    </row>
    <row r="674" spans="6:7" ht="14.25" customHeight="1" x14ac:dyDescent="0.35">
      <c r="F674" s="2"/>
      <c r="G674" s="3"/>
    </row>
    <row r="675" spans="6:7" ht="14.25" customHeight="1" x14ac:dyDescent="0.35">
      <c r="F675" s="2"/>
      <c r="G675" s="3"/>
    </row>
    <row r="676" spans="6:7" ht="14.25" customHeight="1" x14ac:dyDescent="0.35">
      <c r="F676" s="2"/>
      <c r="G676" s="3"/>
    </row>
    <row r="677" spans="6:7" ht="14.25" customHeight="1" x14ac:dyDescent="0.35">
      <c r="F677" s="2"/>
      <c r="G677" s="3"/>
    </row>
    <row r="678" spans="6:7" ht="14.25" customHeight="1" x14ac:dyDescent="0.35">
      <c r="F678" s="2"/>
      <c r="G678" s="3"/>
    </row>
    <row r="679" spans="6:7" ht="14.25" customHeight="1" x14ac:dyDescent="0.35">
      <c r="F679" s="2"/>
      <c r="G679" s="3"/>
    </row>
    <row r="680" spans="6:7" ht="14.25" customHeight="1" x14ac:dyDescent="0.35">
      <c r="F680" s="2"/>
      <c r="G680" s="3"/>
    </row>
    <row r="681" spans="6:7" ht="14.25" customHeight="1" x14ac:dyDescent="0.35">
      <c r="F681" s="2"/>
      <c r="G681" s="3"/>
    </row>
    <row r="682" spans="6:7" ht="14.25" customHeight="1" x14ac:dyDescent="0.35">
      <c r="F682" s="2"/>
      <c r="G682" s="3"/>
    </row>
    <row r="683" spans="6:7" ht="14.25" customHeight="1" x14ac:dyDescent="0.35">
      <c r="F683" s="2"/>
      <c r="G683" s="3"/>
    </row>
    <row r="684" spans="6:7" ht="14.25" customHeight="1" x14ac:dyDescent="0.35">
      <c r="F684" s="2"/>
      <c r="G684" s="3"/>
    </row>
    <row r="685" spans="6:7" ht="14.25" customHeight="1" x14ac:dyDescent="0.35">
      <c r="F685" s="2"/>
      <c r="G685" s="3"/>
    </row>
    <row r="686" spans="6:7" ht="14.25" customHeight="1" x14ac:dyDescent="0.35">
      <c r="F686" s="2"/>
      <c r="G686" s="3"/>
    </row>
    <row r="687" spans="6:7" ht="14.25" customHeight="1" x14ac:dyDescent="0.35">
      <c r="F687" s="2"/>
      <c r="G687" s="3"/>
    </row>
    <row r="688" spans="6:7" ht="14.25" customHeight="1" x14ac:dyDescent="0.35">
      <c r="F688" s="2"/>
      <c r="G688" s="3"/>
    </row>
    <row r="689" spans="6:7" ht="14.25" customHeight="1" x14ac:dyDescent="0.35">
      <c r="F689" s="2"/>
      <c r="G689" s="3"/>
    </row>
    <row r="690" spans="6:7" ht="14.25" customHeight="1" x14ac:dyDescent="0.35">
      <c r="F690" s="2"/>
      <c r="G690" s="3"/>
    </row>
    <row r="691" spans="6:7" ht="14.25" customHeight="1" x14ac:dyDescent="0.35">
      <c r="F691" s="2"/>
      <c r="G691" s="3"/>
    </row>
    <row r="692" spans="6:7" ht="14.25" customHeight="1" x14ac:dyDescent="0.35">
      <c r="F692" s="2"/>
      <c r="G692" s="3"/>
    </row>
    <row r="693" spans="6:7" ht="14.25" customHeight="1" x14ac:dyDescent="0.35">
      <c r="F693" s="2"/>
      <c r="G693" s="3"/>
    </row>
    <row r="694" spans="6:7" ht="14.25" customHeight="1" x14ac:dyDescent="0.35">
      <c r="F694" s="2"/>
      <c r="G694" s="3"/>
    </row>
    <row r="695" spans="6:7" ht="14.25" customHeight="1" x14ac:dyDescent="0.35">
      <c r="F695" s="2"/>
      <c r="G695" s="3"/>
    </row>
    <row r="696" spans="6:7" ht="14.25" customHeight="1" x14ac:dyDescent="0.35">
      <c r="F696" s="2"/>
      <c r="G696" s="3"/>
    </row>
    <row r="697" spans="6:7" ht="14.25" customHeight="1" x14ac:dyDescent="0.35">
      <c r="F697" s="2"/>
      <c r="G697" s="3"/>
    </row>
    <row r="698" spans="6:7" ht="14.25" customHeight="1" x14ac:dyDescent="0.35">
      <c r="F698" s="2"/>
      <c r="G698" s="3"/>
    </row>
    <row r="699" spans="6:7" ht="14.25" customHeight="1" x14ac:dyDescent="0.35">
      <c r="F699" s="2"/>
      <c r="G699" s="3"/>
    </row>
    <row r="700" spans="6:7" ht="14.25" customHeight="1" x14ac:dyDescent="0.35">
      <c r="F700" s="2"/>
      <c r="G700" s="3"/>
    </row>
    <row r="701" spans="6:7" ht="14.25" customHeight="1" x14ac:dyDescent="0.35">
      <c r="F701" s="2"/>
      <c r="G701" s="3"/>
    </row>
    <row r="702" spans="6:7" ht="14.25" customHeight="1" x14ac:dyDescent="0.35">
      <c r="F702" s="2"/>
      <c r="G702" s="3"/>
    </row>
    <row r="703" spans="6:7" ht="14.25" customHeight="1" x14ac:dyDescent="0.35">
      <c r="F703" s="2"/>
      <c r="G703" s="3"/>
    </row>
    <row r="704" spans="6:7" ht="14.25" customHeight="1" x14ac:dyDescent="0.35">
      <c r="F704" s="2"/>
      <c r="G704" s="3"/>
    </row>
    <row r="705" spans="6:7" ht="14.25" customHeight="1" x14ac:dyDescent="0.35">
      <c r="F705" s="2"/>
      <c r="G705" s="3"/>
    </row>
    <row r="706" spans="6:7" ht="14.25" customHeight="1" x14ac:dyDescent="0.35">
      <c r="F706" s="2"/>
      <c r="G706" s="3"/>
    </row>
    <row r="707" spans="6:7" ht="14.25" customHeight="1" x14ac:dyDescent="0.35">
      <c r="F707" s="2"/>
      <c r="G707" s="3"/>
    </row>
    <row r="708" spans="6:7" ht="14.25" customHeight="1" x14ac:dyDescent="0.35">
      <c r="F708" s="2"/>
      <c r="G708" s="3"/>
    </row>
    <row r="709" spans="6:7" ht="14.25" customHeight="1" x14ac:dyDescent="0.35">
      <c r="F709" s="2"/>
      <c r="G709" s="3"/>
    </row>
    <row r="710" spans="6:7" ht="14.25" customHeight="1" x14ac:dyDescent="0.35">
      <c r="F710" s="2"/>
      <c r="G710" s="3"/>
    </row>
    <row r="711" spans="6:7" ht="14.25" customHeight="1" x14ac:dyDescent="0.35">
      <c r="F711" s="2"/>
      <c r="G711" s="3"/>
    </row>
    <row r="712" spans="6:7" ht="14.25" customHeight="1" x14ac:dyDescent="0.35">
      <c r="F712" s="2"/>
      <c r="G712" s="3"/>
    </row>
    <row r="713" spans="6:7" ht="14.25" customHeight="1" x14ac:dyDescent="0.35">
      <c r="F713" s="2"/>
      <c r="G713" s="3"/>
    </row>
    <row r="714" spans="6:7" ht="14.25" customHeight="1" x14ac:dyDescent="0.35">
      <c r="F714" s="2"/>
      <c r="G714" s="3"/>
    </row>
    <row r="715" spans="6:7" ht="14.25" customHeight="1" x14ac:dyDescent="0.35">
      <c r="F715" s="2"/>
      <c r="G715" s="3"/>
    </row>
    <row r="716" spans="6:7" ht="14.25" customHeight="1" x14ac:dyDescent="0.35">
      <c r="F716" s="2"/>
      <c r="G716" s="3"/>
    </row>
    <row r="717" spans="6:7" ht="14.25" customHeight="1" x14ac:dyDescent="0.35">
      <c r="F717" s="2"/>
      <c r="G717" s="3"/>
    </row>
    <row r="718" spans="6:7" ht="14.25" customHeight="1" x14ac:dyDescent="0.35">
      <c r="F718" s="2"/>
      <c r="G718" s="3"/>
    </row>
    <row r="719" spans="6:7" ht="14.25" customHeight="1" x14ac:dyDescent="0.35">
      <c r="F719" s="2"/>
      <c r="G719" s="3"/>
    </row>
    <row r="720" spans="6:7" ht="14.25" customHeight="1" x14ac:dyDescent="0.35">
      <c r="F720" s="2"/>
      <c r="G720" s="3"/>
    </row>
    <row r="721" spans="6:7" ht="14.25" customHeight="1" x14ac:dyDescent="0.35">
      <c r="F721" s="2"/>
      <c r="G721" s="3"/>
    </row>
    <row r="722" spans="6:7" ht="14.25" customHeight="1" x14ac:dyDescent="0.35">
      <c r="F722" s="2"/>
      <c r="G722" s="3"/>
    </row>
    <row r="723" spans="6:7" ht="14.25" customHeight="1" x14ac:dyDescent="0.35">
      <c r="F723" s="2"/>
      <c r="G723" s="3"/>
    </row>
    <row r="724" spans="6:7" ht="14.25" customHeight="1" x14ac:dyDescent="0.35">
      <c r="F724" s="2"/>
      <c r="G724" s="3"/>
    </row>
    <row r="725" spans="6:7" ht="14.25" customHeight="1" x14ac:dyDescent="0.35">
      <c r="F725" s="2"/>
      <c r="G725" s="3"/>
    </row>
    <row r="726" spans="6:7" ht="14.25" customHeight="1" x14ac:dyDescent="0.35">
      <c r="F726" s="2"/>
      <c r="G726" s="3"/>
    </row>
    <row r="727" spans="6:7" ht="14.25" customHeight="1" x14ac:dyDescent="0.35">
      <c r="F727" s="2"/>
      <c r="G727" s="3"/>
    </row>
    <row r="728" spans="6:7" ht="14.25" customHeight="1" x14ac:dyDescent="0.35">
      <c r="F728" s="2"/>
      <c r="G728" s="3"/>
    </row>
    <row r="729" spans="6:7" ht="14.25" customHeight="1" x14ac:dyDescent="0.35">
      <c r="F729" s="2"/>
      <c r="G729" s="3"/>
    </row>
    <row r="730" spans="6:7" ht="14.25" customHeight="1" x14ac:dyDescent="0.35">
      <c r="F730" s="2"/>
      <c r="G730" s="3"/>
    </row>
    <row r="731" spans="6:7" ht="14.25" customHeight="1" x14ac:dyDescent="0.35">
      <c r="F731" s="2"/>
      <c r="G731" s="3"/>
    </row>
    <row r="732" spans="6:7" ht="14.25" customHeight="1" x14ac:dyDescent="0.35">
      <c r="F732" s="2"/>
      <c r="G732" s="3"/>
    </row>
    <row r="733" spans="6:7" ht="14.25" customHeight="1" x14ac:dyDescent="0.35">
      <c r="F733" s="2"/>
      <c r="G733" s="3"/>
    </row>
    <row r="734" spans="6:7" ht="14.25" customHeight="1" x14ac:dyDescent="0.35">
      <c r="F734" s="2"/>
      <c r="G734" s="3"/>
    </row>
    <row r="735" spans="6:7" ht="14.25" customHeight="1" x14ac:dyDescent="0.35">
      <c r="F735" s="2"/>
      <c r="G735" s="3"/>
    </row>
    <row r="736" spans="6:7" ht="14.25" customHeight="1" x14ac:dyDescent="0.35">
      <c r="F736" s="2"/>
      <c r="G736" s="3"/>
    </row>
    <row r="737" spans="6:7" ht="14.25" customHeight="1" x14ac:dyDescent="0.35">
      <c r="F737" s="2"/>
      <c r="G737" s="3"/>
    </row>
    <row r="738" spans="6:7" ht="14.25" customHeight="1" x14ac:dyDescent="0.35">
      <c r="F738" s="2"/>
      <c r="G738" s="3"/>
    </row>
    <row r="739" spans="6:7" ht="14.25" customHeight="1" x14ac:dyDescent="0.35">
      <c r="F739" s="2"/>
      <c r="G739" s="3"/>
    </row>
    <row r="740" spans="6:7" ht="14.25" customHeight="1" x14ac:dyDescent="0.35">
      <c r="F740" s="2"/>
      <c r="G740" s="3"/>
    </row>
    <row r="741" spans="6:7" ht="14.25" customHeight="1" x14ac:dyDescent="0.35">
      <c r="F741" s="2"/>
      <c r="G741" s="3"/>
    </row>
    <row r="742" spans="6:7" ht="14.25" customHeight="1" x14ac:dyDescent="0.35">
      <c r="F742" s="2"/>
      <c r="G742" s="3"/>
    </row>
    <row r="743" spans="6:7" ht="14.25" customHeight="1" x14ac:dyDescent="0.35">
      <c r="F743" s="2"/>
      <c r="G743" s="3"/>
    </row>
    <row r="744" spans="6:7" ht="14.25" customHeight="1" x14ac:dyDescent="0.35">
      <c r="F744" s="2"/>
      <c r="G744" s="3"/>
    </row>
    <row r="745" spans="6:7" ht="14.25" customHeight="1" x14ac:dyDescent="0.35">
      <c r="F745" s="2"/>
      <c r="G745" s="3"/>
    </row>
    <row r="746" spans="6:7" ht="14.25" customHeight="1" x14ac:dyDescent="0.35">
      <c r="F746" s="2"/>
      <c r="G746" s="3"/>
    </row>
    <row r="747" spans="6:7" ht="14.25" customHeight="1" x14ac:dyDescent="0.35">
      <c r="F747" s="2"/>
      <c r="G747" s="3"/>
    </row>
    <row r="748" spans="6:7" ht="14.25" customHeight="1" x14ac:dyDescent="0.35">
      <c r="F748" s="2"/>
      <c r="G748" s="3"/>
    </row>
    <row r="749" spans="6:7" ht="14.25" customHeight="1" x14ac:dyDescent="0.35">
      <c r="F749" s="2"/>
      <c r="G749" s="3"/>
    </row>
    <row r="750" spans="6:7" ht="14.25" customHeight="1" x14ac:dyDescent="0.35">
      <c r="F750" s="2"/>
      <c r="G750" s="3"/>
    </row>
    <row r="751" spans="6:7" ht="14.25" customHeight="1" x14ac:dyDescent="0.35">
      <c r="F751" s="2"/>
      <c r="G751" s="3"/>
    </row>
    <row r="752" spans="6:7" ht="14.25" customHeight="1" x14ac:dyDescent="0.35">
      <c r="F752" s="2"/>
      <c r="G752" s="3"/>
    </row>
    <row r="753" spans="6:7" ht="14.25" customHeight="1" x14ac:dyDescent="0.35">
      <c r="F753" s="2"/>
      <c r="G753" s="3"/>
    </row>
    <row r="754" spans="6:7" ht="14.25" customHeight="1" x14ac:dyDescent="0.35">
      <c r="F754" s="2"/>
      <c r="G754" s="3"/>
    </row>
    <row r="755" spans="6:7" ht="14.25" customHeight="1" x14ac:dyDescent="0.35">
      <c r="F755" s="2"/>
      <c r="G755" s="3"/>
    </row>
    <row r="756" spans="6:7" ht="14.25" customHeight="1" x14ac:dyDescent="0.35">
      <c r="F756" s="2"/>
      <c r="G756" s="3"/>
    </row>
    <row r="757" spans="6:7" ht="14.25" customHeight="1" x14ac:dyDescent="0.35">
      <c r="F757" s="2"/>
      <c r="G757" s="3"/>
    </row>
    <row r="758" spans="6:7" ht="14.25" customHeight="1" x14ac:dyDescent="0.35">
      <c r="F758" s="2"/>
      <c r="G758" s="3"/>
    </row>
    <row r="759" spans="6:7" ht="14.25" customHeight="1" x14ac:dyDescent="0.35">
      <c r="F759" s="2"/>
      <c r="G759" s="3"/>
    </row>
    <row r="760" spans="6:7" ht="14.25" customHeight="1" x14ac:dyDescent="0.35">
      <c r="F760" s="2"/>
      <c r="G760" s="3"/>
    </row>
    <row r="761" spans="6:7" ht="14.25" customHeight="1" x14ac:dyDescent="0.35">
      <c r="F761" s="2"/>
      <c r="G761" s="3"/>
    </row>
    <row r="762" spans="6:7" ht="14.25" customHeight="1" x14ac:dyDescent="0.35">
      <c r="F762" s="2"/>
      <c r="G762" s="3"/>
    </row>
    <row r="763" spans="6:7" ht="14.25" customHeight="1" x14ac:dyDescent="0.35">
      <c r="F763" s="2"/>
      <c r="G763" s="3"/>
    </row>
    <row r="764" spans="6:7" ht="14.25" customHeight="1" x14ac:dyDescent="0.35">
      <c r="F764" s="2"/>
      <c r="G764" s="3"/>
    </row>
    <row r="765" spans="6:7" ht="14.25" customHeight="1" x14ac:dyDescent="0.35">
      <c r="F765" s="2"/>
      <c r="G765" s="3"/>
    </row>
    <row r="766" spans="6:7" ht="14.25" customHeight="1" x14ac:dyDescent="0.35">
      <c r="F766" s="2"/>
      <c r="G766" s="3"/>
    </row>
    <row r="767" spans="6:7" ht="14.25" customHeight="1" x14ac:dyDescent="0.35">
      <c r="F767" s="2"/>
      <c r="G767" s="3"/>
    </row>
    <row r="768" spans="6:7" ht="14.25" customHeight="1" x14ac:dyDescent="0.35">
      <c r="F768" s="2"/>
      <c r="G768" s="3"/>
    </row>
    <row r="769" spans="6:7" ht="14.25" customHeight="1" x14ac:dyDescent="0.35">
      <c r="F769" s="2"/>
      <c r="G769" s="3"/>
    </row>
    <row r="770" spans="6:7" ht="14.25" customHeight="1" x14ac:dyDescent="0.35">
      <c r="F770" s="2"/>
      <c r="G770" s="3"/>
    </row>
    <row r="771" spans="6:7" ht="14.25" customHeight="1" x14ac:dyDescent="0.35">
      <c r="F771" s="2"/>
      <c r="G771" s="3"/>
    </row>
    <row r="772" spans="6:7" ht="14.25" customHeight="1" x14ac:dyDescent="0.35">
      <c r="F772" s="2"/>
      <c r="G772" s="3"/>
    </row>
    <row r="773" spans="6:7" ht="14.25" customHeight="1" x14ac:dyDescent="0.35">
      <c r="F773" s="2"/>
      <c r="G773" s="3"/>
    </row>
    <row r="774" spans="6:7" ht="14.25" customHeight="1" x14ac:dyDescent="0.35">
      <c r="F774" s="2"/>
      <c r="G774" s="3"/>
    </row>
    <row r="775" spans="6:7" ht="14.25" customHeight="1" x14ac:dyDescent="0.35">
      <c r="F775" s="2"/>
      <c r="G775" s="3"/>
    </row>
    <row r="776" spans="6:7" ht="14.25" customHeight="1" x14ac:dyDescent="0.35">
      <c r="F776" s="2"/>
      <c r="G776" s="3"/>
    </row>
    <row r="777" spans="6:7" ht="14.25" customHeight="1" x14ac:dyDescent="0.35">
      <c r="F777" s="2"/>
      <c r="G777" s="3"/>
    </row>
    <row r="778" spans="6:7" ht="14.25" customHeight="1" x14ac:dyDescent="0.35">
      <c r="F778" s="2"/>
      <c r="G778" s="3"/>
    </row>
    <row r="779" spans="6:7" ht="14.25" customHeight="1" x14ac:dyDescent="0.35">
      <c r="F779" s="2"/>
      <c r="G779" s="3"/>
    </row>
    <row r="780" spans="6:7" ht="14.25" customHeight="1" x14ac:dyDescent="0.35">
      <c r="F780" s="2"/>
      <c r="G780" s="3"/>
    </row>
    <row r="781" spans="6:7" ht="14.25" customHeight="1" x14ac:dyDescent="0.35">
      <c r="F781" s="2"/>
      <c r="G781" s="3"/>
    </row>
    <row r="782" spans="6:7" ht="14.25" customHeight="1" x14ac:dyDescent="0.35">
      <c r="F782" s="2"/>
      <c r="G782" s="3"/>
    </row>
    <row r="783" spans="6:7" ht="14.25" customHeight="1" x14ac:dyDescent="0.35">
      <c r="F783" s="2"/>
      <c r="G783" s="3"/>
    </row>
    <row r="784" spans="6:7" ht="14.25" customHeight="1" x14ac:dyDescent="0.35">
      <c r="F784" s="2"/>
      <c r="G784" s="3"/>
    </row>
    <row r="785" spans="6:7" ht="14.25" customHeight="1" x14ac:dyDescent="0.35">
      <c r="F785" s="2"/>
      <c r="G785" s="3"/>
    </row>
    <row r="786" spans="6:7" ht="14.25" customHeight="1" x14ac:dyDescent="0.35">
      <c r="F786" s="2"/>
      <c r="G786" s="3"/>
    </row>
    <row r="787" spans="6:7" ht="14.25" customHeight="1" x14ac:dyDescent="0.35">
      <c r="F787" s="2"/>
      <c r="G787" s="3"/>
    </row>
    <row r="788" spans="6:7" ht="14.25" customHeight="1" x14ac:dyDescent="0.35">
      <c r="F788" s="2"/>
      <c r="G788" s="3"/>
    </row>
    <row r="789" spans="6:7" ht="14.25" customHeight="1" x14ac:dyDescent="0.35">
      <c r="F789" s="2"/>
      <c r="G789" s="3"/>
    </row>
    <row r="790" spans="6:7" ht="14.25" customHeight="1" x14ac:dyDescent="0.35">
      <c r="F790" s="2"/>
      <c r="G790" s="3"/>
    </row>
    <row r="791" spans="6:7" ht="14.25" customHeight="1" x14ac:dyDescent="0.35">
      <c r="F791" s="2"/>
      <c r="G791" s="3"/>
    </row>
    <row r="792" spans="6:7" ht="14.25" customHeight="1" x14ac:dyDescent="0.35">
      <c r="F792" s="2"/>
      <c r="G792" s="3"/>
    </row>
    <row r="793" spans="6:7" ht="14.25" customHeight="1" x14ac:dyDescent="0.35">
      <c r="F793" s="2"/>
      <c r="G793" s="3"/>
    </row>
    <row r="794" spans="6:7" ht="14.25" customHeight="1" x14ac:dyDescent="0.35">
      <c r="F794" s="2"/>
      <c r="G794" s="3"/>
    </row>
    <row r="795" spans="6:7" ht="14.25" customHeight="1" x14ac:dyDescent="0.35">
      <c r="F795" s="2"/>
      <c r="G795" s="3"/>
    </row>
    <row r="796" spans="6:7" ht="14.25" customHeight="1" x14ac:dyDescent="0.35">
      <c r="F796" s="2"/>
      <c r="G796" s="3"/>
    </row>
    <row r="797" spans="6:7" ht="14.25" customHeight="1" x14ac:dyDescent="0.35">
      <c r="F797" s="2"/>
      <c r="G797" s="3"/>
    </row>
    <row r="798" spans="6:7" ht="14.25" customHeight="1" x14ac:dyDescent="0.35">
      <c r="F798" s="2"/>
      <c r="G798" s="3"/>
    </row>
    <row r="799" spans="6:7" ht="14.25" customHeight="1" x14ac:dyDescent="0.35">
      <c r="F799" s="2"/>
      <c r="G799" s="3"/>
    </row>
    <row r="800" spans="6:7" ht="14.25" customHeight="1" x14ac:dyDescent="0.35">
      <c r="F800" s="2"/>
      <c r="G800" s="3"/>
    </row>
    <row r="801" spans="6:7" ht="14.25" customHeight="1" x14ac:dyDescent="0.35">
      <c r="F801" s="2"/>
      <c r="G801" s="3"/>
    </row>
    <row r="802" spans="6:7" ht="14.25" customHeight="1" x14ac:dyDescent="0.35">
      <c r="F802" s="2"/>
      <c r="G802" s="3"/>
    </row>
    <row r="803" spans="6:7" ht="14.25" customHeight="1" x14ac:dyDescent="0.35">
      <c r="F803" s="2"/>
      <c r="G803" s="3"/>
    </row>
    <row r="804" spans="6:7" ht="14.25" customHeight="1" x14ac:dyDescent="0.35">
      <c r="F804" s="2"/>
      <c r="G804" s="3"/>
    </row>
    <row r="805" spans="6:7" ht="14.25" customHeight="1" x14ac:dyDescent="0.35">
      <c r="F805" s="2"/>
      <c r="G805" s="3"/>
    </row>
    <row r="806" spans="6:7" ht="14.25" customHeight="1" x14ac:dyDescent="0.35">
      <c r="F806" s="2"/>
      <c r="G806" s="3"/>
    </row>
    <row r="807" spans="6:7" ht="14.25" customHeight="1" x14ac:dyDescent="0.35">
      <c r="F807" s="2"/>
      <c r="G807" s="3"/>
    </row>
    <row r="808" spans="6:7" ht="14.25" customHeight="1" x14ac:dyDescent="0.35">
      <c r="F808" s="2"/>
      <c r="G808" s="3"/>
    </row>
    <row r="809" spans="6:7" ht="14.25" customHeight="1" x14ac:dyDescent="0.35">
      <c r="F809" s="2"/>
      <c r="G809" s="3"/>
    </row>
    <row r="810" spans="6:7" ht="14.25" customHeight="1" x14ac:dyDescent="0.35">
      <c r="F810" s="2"/>
      <c r="G810" s="3"/>
    </row>
    <row r="811" spans="6:7" ht="14.25" customHeight="1" x14ac:dyDescent="0.35">
      <c r="F811" s="2"/>
      <c r="G811" s="3"/>
    </row>
    <row r="812" spans="6:7" ht="14.25" customHeight="1" x14ac:dyDescent="0.35">
      <c r="F812" s="2"/>
      <c r="G812" s="3"/>
    </row>
    <row r="813" spans="6:7" ht="14.25" customHeight="1" x14ac:dyDescent="0.35">
      <c r="F813" s="2"/>
      <c r="G813" s="3"/>
    </row>
    <row r="814" spans="6:7" ht="14.25" customHeight="1" x14ac:dyDescent="0.35">
      <c r="F814" s="2"/>
      <c r="G814" s="3"/>
    </row>
    <row r="815" spans="6:7" ht="14.25" customHeight="1" x14ac:dyDescent="0.35">
      <c r="F815" s="2"/>
      <c r="G815" s="3"/>
    </row>
    <row r="816" spans="6:7" ht="14.25" customHeight="1" x14ac:dyDescent="0.35">
      <c r="F816" s="2"/>
      <c r="G816" s="3"/>
    </row>
    <row r="817" spans="6:7" ht="14.25" customHeight="1" x14ac:dyDescent="0.35">
      <c r="F817" s="2"/>
      <c r="G817" s="3"/>
    </row>
    <row r="818" spans="6:7" ht="14.25" customHeight="1" x14ac:dyDescent="0.35">
      <c r="F818" s="2"/>
      <c r="G818" s="3"/>
    </row>
    <row r="819" spans="6:7" ht="14.25" customHeight="1" x14ac:dyDescent="0.35">
      <c r="F819" s="2"/>
      <c r="G819" s="3"/>
    </row>
    <row r="820" spans="6:7" ht="14.25" customHeight="1" x14ac:dyDescent="0.35">
      <c r="F820" s="2"/>
      <c r="G820" s="3"/>
    </row>
    <row r="821" spans="6:7" ht="14.25" customHeight="1" x14ac:dyDescent="0.35">
      <c r="F821" s="2"/>
      <c r="G821" s="3"/>
    </row>
    <row r="822" spans="6:7" ht="14.25" customHeight="1" x14ac:dyDescent="0.35">
      <c r="F822" s="2"/>
      <c r="G822" s="3"/>
    </row>
    <row r="823" spans="6:7" ht="14.25" customHeight="1" x14ac:dyDescent="0.35">
      <c r="F823" s="2"/>
      <c r="G823" s="3"/>
    </row>
    <row r="824" spans="6:7" ht="14.25" customHeight="1" x14ac:dyDescent="0.35">
      <c r="F824" s="2"/>
      <c r="G824" s="3"/>
    </row>
    <row r="825" spans="6:7" ht="14.25" customHeight="1" x14ac:dyDescent="0.35">
      <c r="F825" s="2"/>
      <c r="G825" s="3"/>
    </row>
    <row r="826" spans="6:7" ht="14.25" customHeight="1" x14ac:dyDescent="0.35">
      <c r="F826" s="2"/>
      <c r="G826" s="3"/>
    </row>
    <row r="827" spans="6:7" ht="14.25" customHeight="1" x14ac:dyDescent="0.35">
      <c r="F827" s="2"/>
      <c r="G827" s="3"/>
    </row>
    <row r="828" spans="6:7" ht="14.25" customHeight="1" x14ac:dyDescent="0.35">
      <c r="F828" s="2"/>
      <c r="G828" s="3"/>
    </row>
    <row r="829" spans="6:7" ht="14.25" customHeight="1" x14ac:dyDescent="0.35">
      <c r="F829" s="2"/>
      <c r="G829" s="3"/>
    </row>
    <row r="830" spans="6:7" ht="14.25" customHeight="1" x14ac:dyDescent="0.35">
      <c r="F830" s="2"/>
      <c r="G830" s="3"/>
    </row>
    <row r="831" spans="6:7" ht="14.25" customHeight="1" x14ac:dyDescent="0.35">
      <c r="F831" s="2"/>
      <c r="G831" s="3"/>
    </row>
    <row r="832" spans="6:7" ht="14.25" customHeight="1" x14ac:dyDescent="0.35">
      <c r="F832" s="2"/>
      <c r="G832" s="3"/>
    </row>
    <row r="833" spans="6:7" ht="14.25" customHeight="1" x14ac:dyDescent="0.35">
      <c r="F833" s="2"/>
      <c r="G833" s="3"/>
    </row>
    <row r="834" spans="6:7" ht="14.25" customHeight="1" x14ac:dyDescent="0.35">
      <c r="F834" s="2"/>
      <c r="G834" s="3"/>
    </row>
    <row r="835" spans="6:7" ht="14.25" customHeight="1" x14ac:dyDescent="0.35">
      <c r="F835" s="2"/>
      <c r="G835" s="3"/>
    </row>
    <row r="836" spans="6:7" ht="14.25" customHeight="1" x14ac:dyDescent="0.35">
      <c r="F836" s="2"/>
      <c r="G836" s="3"/>
    </row>
    <row r="837" spans="6:7" ht="14.25" customHeight="1" x14ac:dyDescent="0.35">
      <c r="F837" s="2"/>
      <c r="G837" s="3"/>
    </row>
    <row r="838" spans="6:7" ht="14.25" customHeight="1" x14ac:dyDescent="0.35">
      <c r="F838" s="2"/>
      <c r="G838" s="3"/>
    </row>
    <row r="839" spans="6:7" ht="14.25" customHeight="1" x14ac:dyDescent="0.35">
      <c r="F839" s="2"/>
      <c r="G839" s="3"/>
    </row>
    <row r="840" spans="6:7" ht="14.25" customHeight="1" x14ac:dyDescent="0.35">
      <c r="F840" s="2"/>
      <c r="G840" s="3"/>
    </row>
    <row r="841" spans="6:7" ht="14.25" customHeight="1" x14ac:dyDescent="0.35">
      <c r="F841" s="2"/>
      <c r="G841" s="3"/>
    </row>
    <row r="842" spans="6:7" ht="14.25" customHeight="1" x14ac:dyDescent="0.35">
      <c r="F842" s="2"/>
      <c r="G842" s="3"/>
    </row>
    <row r="843" spans="6:7" ht="14.25" customHeight="1" x14ac:dyDescent="0.35">
      <c r="F843" s="2"/>
      <c r="G843" s="3"/>
    </row>
    <row r="844" spans="6:7" ht="14.25" customHeight="1" x14ac:dyDescent="0.35">
      <c r="F844" s="2"/>
      <c r="G844" s="3"/>
    </row>
    <row r="845" spans="6:7" ht="14.25" customHeight="1" x14ac:dyDescent="0.35">
      <c r="F845" s="2"/>
      <c r="G845" s="3"/>
    </row>
    <row r="846" spans="6:7" ht="14.25" customHeight="1" x14ac:dyDescent="0.35">
      <c r="F846" s="2"/>
      <c r="G846" s="3"/>
    </row>
    <row r="847" spans="6:7" ht="14.25" customHeight="1" x14ac:dyDescent="0.35">
      <c r="F847" s="2"/>
      <c r="G847" s="3"/>
    </row>
    <row r="848" spans="6:7" ht="14.25" customHeight="1" x14ac:dyDescent="0.35">
      <c r="F848" s="2"/>
      <c r="G848" s="3"/>
    </row>
    <row r="849" spans="6:7" ht="14.25" customHeight="1" x14ac:dyDescent="0.35">
      <c r="F849" s="2"/>
      <c r="G849" s="3"/>
    </row>
    <row r="850" spans="6:7" ht="14.25" customHeight="1" x14ac:dyDescent="0.35">
      <c r="F850" s="2"/>
      <c r="G850" s="3"/>
    </row>
    <row r="851" spans="6:7" ht="14.25" customHeight="1" x14ac:dyDescent="0.35">
      <c r="F851" s="2"/>
      <c r="G851" s="3"/>
    </row>
    <row r="852" spans="6:7" ht="14.25" customHeight="1" x14ac:dyDescent="0.35">
      <c r="F852" s="2"/>
      <c r="G852" s="3"/>
    </row>
    <row r="853" spans="6:7" ht="14.25" customHeight="1" x14ac:dyDescent="0.35">
      <c r="F853" s="2"/>
      <c r="G853" s="3"/>
    </row>
    <row r="854" spans="6:7" ht="14.25" customHeight="1" x14ac:dyDescent="0.35">
      <c r="F854" s="2"/>
      <c r="G854" s="3"/>
    </row>
    <row r="855" spans="6:7" ht="14.25" customHeight="1" x14ac:dyDescent="0.35">
      <c r="F855" s="2"/>
      <c r="G855" s="3"/>
    </row>
    <row r="856" spans="6:7" ht="14.25" customHeight="1" x14ac:dyDescent="0.35">
      <c r="F856" s="2"/>
      <c r="G856" s="3"/>
    </row>
    <row r="857" spans="6:7" ht="14.25" customHeight="1" x14ac:dyDescent="0.35">
      <c r="F857" s="2"/>
      <c r="G857" s="3"/>
    </row>
    <row r="858" spans="6:7" ht="14.25" customHeight="1" x14ac:dyDescent="0.35">
      <c r="F858" s="2"/>
      <c r="G858" s="3"/>
    </row>
    <row r="859" spans="6:7" ht="14.25" customHeight="1" x14ac:dyDescent="0.35">
      <c r="F859" s="2"/>
      <c r="G859" s="3"/>
    </row>
    <row r="860" spans="6:7" ht="14.25" customHeight="1" x14ac:dyDescent="0.35">
      <c r="F860" s="2"/>
      <c r="G860" s="3"/>
    </row>
    <row r="861" spans="6:7" ht="14.25" customHeight="1" x14ac:dyDescent="0.35">
      <c r="F861" s="2"/>
      <c r="G861" s="3"/>
    </row>
    <row r="862" spans="6:7" ht="14.25" customHeight="1" x14ac:dyDescent="0.35">
      <c r="F862" s="2"/>
      <c r="G862" s="3"/>
    </row>
    <row r="863" spans="6:7" ht="14.25" customHeight="1" x14ac:dyDescent="0.35">
      <c r="F863" s="2"/>
      <c r="G863" s="3"/>
    </row>
    <row r="864" spans="6:7" ht="14.25" customHeight="1" x14ac:dyDescent="0.35">
      <c r="F864" s="2"/>
      <c r="G864" s="3"/>
    </row>
    <row r="865" spans="6:7" ht="14.25" customHeight="1" x14ac:dyDescent="0.35">
      <c r="F865" s="2"/>
      <c r="G865" s="3"/>
    </row>
    <row r="866" spans="6:7" ht="14.25" customHeight="1" x14ac:dyDescent="0.35">
      <c r="F866" s="2"/>
      <c r="G866" s="3"/>
    </row>
    <row r="867" spans="6:7" ht="14.25" customHeight="1" x14ac:dyDescent="0.35">
      <c r="F867" s="2"/>
      <c r="G867" s="3"/>
    </row>
    <row r="868" spans="6:7" ht="14.25" customHeight="1" x14ac:dyDescent="0.35">
      <c r="F868" s="2"/>
      <c r="G868" s="3"/>
    </row>
    <row r="869" spans="6:7" ht="14.25" customHeight="1" x14ac:dyDescent="0.35">
      <c r="F869" s="2"/>
      <c r="G869" s="3"/>
    </row>
    <row r="870" spans="6:7" ht="14.25" customHeight="1" x14ac:dyDescent="0.35">
      <c r="F870" s="2"/>
      <c r="G870" s="3"/>
    </row>
    <row r="871" spans="6:7" ht="14.25" customHeight="1" x14ac:dyDescent="0.35">
      <c r="F871" s="2"/>
      <c r="G871" s="3"/>
    </row>
    <row r="872" spans="6:7" ht="14.25" customHeight="1" x14ac:dyDescent="0.35">
      <c r="F872" s="2"/>
      <c r="G872" s="3"/>
    </row>
    <row r="873" spans="6:7" ht="14.25" customHeight="1" x14ac:dyDescent="0.35">
      <c r="F873" s="2"/>
      <c r="G873" s="3"/>
    </row>
    <row r="874" spans="6:7" ht="14.25" customHeight="1" x14ac:dyDescent="0.35">
      <c r="F874" s="2"/>
      <c r="G874" s="3"/>
    </row>
    <row r="875" spans="6:7" ht="14.25" customHeight="1" x14ac:dyDescent="0.35">
      <c r="F875" s="2"/>
      <c r="G875" s="3"/>
    </row>
    <row r="876" spans="6:7" ht="14.25" customHeight="1" x14ac:dyDescent="0.35">
      <c r="F876" s="2"/>
      <c r="G876" s="3"/>
    </row>
    <row r="877" spans="6:7" ht="14.25" customHeight="1" x14ac:dyDescent="0.35">
      <c r="F877" s="2"/>
      <c r="G877" s="3"/>
    </row>
    <row r="878" spans="6:7" ht="14.25" customHeight="1" x14ac:dyDescent="0.35">
      <c r="F878" s="2"/>
      <c r="G878" s="3"/>
    </row>
    <row r="879" spans="6:7" ht="14.25" customHeight="1" x14ac:dyDescent="0.35">
      <c r="F879" s="2"/>
      <c r="G879" s="3"/>
    </row>
    <row r="880" spans="6:7" ht="14.25" customHeight="1" x14ac:dyDescent="0.35">
      <c r="F880" s="2"/>
      <c r="G880" s="3"/>
    </row>
    <row r="881" spans="6:7" ht="14.25" customHeight="1" x14ac:dyDescent="0.35">
      <c r="F881" s="2"/>
      <c r="G881" s="3"/>
    </row>
    <row r="882" spans="6:7" ht="14.25" customHeight="1" x14ac:dyDescent="0.35">
      <c r="F882" s="2"/>
      <c r="G882" s="3"/>
    </row>
    <row r="883" spans="6:7" ht="14.25" customHeight="1" x14ac:dyDescent="0.35">
      <c r="F883" s="2"/>
      <c r="G883" s="3"/>
    </row>
    <row r="884" spans="6:7" ht="14.25" customHeight="1" x14ac:dyDescent="0.35">
      <c r="F884" s="2"/>
      <c r="G884" s="3"/>
    </row>
    <row r="885" spans="6:7" ht="14.25" customHeight="1" x14ac:dyDescent="0.35">
      <c r="F885" s="2"/>
      <c r="G885" s="3"/>
    </row>
    <row r="886" spans="6:7" ht="14.25" customHeight="1" x14ac:dyDescent="0.35">
      <c r="F886" s="2"/>
      <c r="G886" s="3"/>
    </row>
    <row r="887" spans="6:7" ht="14.25" customHeight="1" x14ac:dyDescent="0.35">
      <c r="F887" s="2"/>
      <c r="G887" s="3"/>
    </row>
    <row r="888" spans="6:7" ht="14.25" customHeight="1" x14ac:dyDescent="0.35">
      <c r="F888" s="2"/>
      <c r="G888" s="3"/>
    </row>
    <row r="889" spans="6:7" ht="14.25" customHeight="1" x14ac:dyDescent="0.35">
      <c r="F889" s="2"/>
      <c r="G889" s="3"/>
    </row>
    <row r="890" spans="6:7" ht="14.25" customHeight="1" x14ac:dyDescent="0.35">
      <c r="F890" s="2"/>
      <c r="G890" s="3"/>
    </row>
    <row r="891" spans="6:7" ht="14.25" customHeight="1" x14ac:dyDescent="0.35">
      <c r="F891" s="2"/>
      <c r="G891" s="3"/>
    </row>
    <row r="892" spans="6:7" ht="14.25" customHeight="1" x14ac:dyDescent="0.35">
      <c r="F892" s="2"/>
      <c r="G892" s="3"/>
    </row>
    <row r="893" spans="6:7" ht="14.25" customHeight="1" x14ac:dyDescent="0.35">
      <c r="F893" s="2"/>
      <c r="G893" s="3"/>
    </row>
    <row r="894" spans="6:7" ht="14.25" customHeight="1" x14ac:dyDescent="0.35">
      <c r="F894" s="2"/>
      <c r="G894" s="3"/>
    </row>
    <row r="895" spans="6:7" ht="14.25" customHeight="1" x14ac:dyDescent="0.35">
      <c r="F895" s="2"/>
      <c r="G895" s="3"/>
    </row>
    <row r="896" spans="6:7" ht="14.25" customHeight="1" x14ac:dyDescent="0.35">
      <c r="F896" s="2"/>
      <c r="G896" s="3"/>
    </row>
    <row r="897" spans="6:7" ht="14.25" customHeight="1" x14ac:dyDescent="0.35">
      <c r="F897" s="2"/>
      <c r="G897" s="3"/>
    </row>
    <row r="898" spans="6:7" ht="14.25" customHeight="1" x14ac:dyDescent="0.35">
      <c r="F898" s="2"/>
      <c r="G898" s="3"/>
    </row>
    <row r="899" spans="6:7" ht="14.25" customHeight="1" x14ac:dyDescent="0.35">
      <c r="F899" s="2"/>
      <c r="G899" s="3"/>
    </row>
    <row r="900" spans="6:7" ht="14.25" customHeight="1" x14ac:dyDescent="0.35">
      <c r="F900" s="2"/>
      <c r="G900" s="3"/>
    </row>
    <row r="901" spans="6:7" ht="14.25" customHeight="1" x14ac:dyDescent="0.35">
      <c r="F901" s="2"/>
      <c r="G901" s="3"/>
    </row>
    <row r="902" spans="6:7" ht="14.25" customHeight="1" x14ac:dyDescent="0.35">
      <c r="F902" s="2"/>
      <c r="G902" s="3"/>
    </row>
    <row r="903" spans="6:7" ht="14.25" customHeight="1" x14ac:dyDescent="0.35">
      <c r="F903" s="2"/>
      <c r="G903" s="3"/>
    </row>
    <row r="904" spans="6:7" ht="14.25" customHeight="1" x14ac:dyDescent="0.35">
      <c r="F904" s="2"/>
      <c r="G904" s="3"/>
    </row>
    <row r="905" spans="6:7" ht="14.25" customHeight="1" x14ac:dyDescent="0.35">
      <c r="F905" s="2"/>
      <c r="G905" s="3"/>
    </row>
    <row r="906" spans="6:7" ht="14.25" customHeight="1" x14ac:dyDescent="0.35">
      <c r="F906" s="2"/>
      <c r="G906" s="3"/>
    </row>
    <row r="907" spans="6:7" ht="14.25" customHeight="1" x14ac:dyDescent="0.35">
      <c r="F907" s="2"/>
      <c r="G907" s="3"/>
    </row>
    <row r="908" spans="6:7" ht="14.25" customHeight="1" x14ac:dyDescent="0.35">
      <c r="F908" s="2"/>
      <c r="G908" s="3"/>
    </row>
    <row r="909" spans="6:7" ht="14.25" customHeight="1" x14ac:dyDescent="0.35">
      <c r="F909" s="2"/>
      <c r="G909" s="3"/>
    </row>
    <row r="910" spans="6:7" ht="14.25" customHeight="1" x14ac:dyDescent="0.35">
      <c r="F910" s="2"/>
      <c r="G910" s="3"/>
    </row>
    <row r="911" spans="6:7" ht="14.25" customHeight="1" x14ac:dyDescent="0.35">
      <c r="F911" s="2"/>
      <c r="G911" s="3"/>
    </row>
    <row r="912" spans="6:7" ht="14.25" customHeight="1" x14ac:dyDescent="0.35">
      <c r="F912" s="2"/>
      <c r="G912" s="3"/>
    </row>
    <row r="913" spans="6:7" ht="14.25" customHeight="1" x14ac:dyDescent="0.35">
      <c r="F913" s="2"/>
      <c r="G913" s="3"/>
    </row>
    <row r="914" spans="6:7" ht="14.25" customHeight="1" x14ac:dyDescent="0.35">
      <c r="F914" s="2"/>
      <c r="G914" s="3"/>
    </row>
    <row r="915" spans="6:7" ht="14.25" customHeight="1" x14ac:dyDescent="0.35">
      <c r="F915" s="2"/>
      <c r="G915" s="3"/>
    </row>
    <row r="916" spans="6:7" ht="14.25" customHeight="1" x14ac:dyDescent="0.35">
      <c r="F916" s="2"/>
      <c r="G916" s="3"/>
    </row>
    <row r="917" spans="6:7" ht="14.25" customHeight="1" x14ac:dyDescent="0.35">
      <c r="F917" s="2"/>
      <c r="G917" s="3"/>
    </row>
    <row r="918" spans="6:7" ht="14.25" customHeight="1" x14ac:dyDescent="0.35">
      <c r="F918" s="2"/>
      <c r="G918" s="3"/>
    </row>
    <row r="919" spans="6:7" ht="14.25" customHeight="1" x14ac:dyDescent="0.35">
      <c r="F919" s="2"/>
      <c r="G919" s="3"/>
    </row>
    <row r="920" spans="6:7" ht="14.25" customHeight="1" x14ac:dyDescent="0.35">
      <c r="F920" s="2"/>
      <c r="G920" s="3"/>
    </row>
    <row r="921" spans="6:7" ht="14.25" customHeight="1" x14ac:dyDescent="0.35">
      <c r="F921" s="2"/>
      <c r="G921" s="3"/>
    </row>
    <row r="922" spans="6:7" ht="14.25" customHeight="1" x14ac:dyDescent="0.35">
      <c r="F922" s="2"/>
      <c r="G922" s="3"/>
    </row>
    <row r="923" spans="6:7" ht="14.25" customHeight="1" x14ac:dyDescent="0.35">
      <c r="F923" s="2"/>
      <c r="G923" s="3"/>
    </row>
    <row r="924" spans="6:7" ht="14.25" customHeight="1" x14ac:dyDescent="0.35">
      <c r="F924" s="2"/>
      <c r="G924" s="3"/>
    </row>
    <row r="925" spans="6:7" ht="14.25" customHeight="1" x14ac:dyDescent="0.35">
      <c r="F925" s="2"/>
      <c r="G925" s="3"/>
    </row>
    <row r="926" spans="6:7" ht="14.25" customHeight="1" x14ac:dyDescent="0.35">
      <c r="F926" s="2"/>
      <c r="G926" s="3"/>
    </row>
    <row r="927" spans="6:7" ht="14.25" customHeight="1" x14ac:dyDescent="0.35">
      <c r="F927" s="2"/>
      <c r="G927" s="3"/>
    </row>
    <row r="928" spans="6:7" ht="14.25" customHeight="1" x14ac:dyDescent="0.35">
      <c r="F928" s="2"/>
      <c r="G928" s="3"/>
    </row>
    <row r="929" spans="6:7" ht="14.25" customHeight="1" x14ac:dyDescent="0.35">
      <c r="F929" s="2"/>
      <c r="G929" s="3"/>
    </row>
    <row r="930" spans="6:7" ht="14.25" customHeight="1" x14ac:dyDescent="0.35">
      <c r="F930" s="2"/>
      <c r="G930" s="3"/>
    </row>
    <row r="931" spans="6:7" ht="14.25" customHeight="1" x14ac:dyDescent="0.35">
      <c r="F931" s="2"/>
      <c r="G931" s="3"/>
    </row>
    <row r="932" spans="6:7" ht="14.25" customHeight="1" x14ac:dyDescent="0.35">
      <c r="F932" s="2"/>
      <c r="G932" s="3"/>
    </row>
    <row r="933" spans="6:7" ht="14.25" customHeight="1" x14ac:dyDescent="0.35">
      <c r="F933" s="2"/>
      <c r="G933" s="3"/>
    </row>
    <row r="934" spans="6:7" ht="14.25" customHeight="1" x14ac:dyDescent="0.35">
      <c r="F934" s="2"/>
      <c r="G934" s="3"/>
    </row>
    <row r="935" spans="6:7" ht="14.25" customHeight="1" x14ac:dyDescent="0.35">
      <c r="F935" s="2"/>
      <c r="G935" s="3"/>
    </row>
    <row r="936" spans="6:7" ht="14.25" customHeight="1" x14ac:dyDescent="0.35">
      <c r="F936" s="2"/>
      <c r="G936" s="3"/>
    </row>
    <row r="937" spans="6:7" ht="14.25" customHeight="1" x14ac:dyDescent="0.35">
      <c r="F937" s="2"/>
      <c r="G937" s="3"/>
    </row>
    <row r="938" spans="6:7" ht="14.25" customHeight="1" x14ac:dyDescent="0.35">
      <c r="F938" s="2"/>
      <c r="G938" s="3"/>
    </row>
    <row r="939" spans="6:7" ht="14.25" customHeight="1" x14ac:dyDescent="0.35">
      <c r="F939" s="2"/>
      <c r="G939" s="3"/>
    </row>
    <row r="940" spans="6:7" ht="14.25" customHeight="1" x14ac:dyDescent="0.35">
      <c r="F940" s="2"/>
      <c r="G940" s="3"/>
    </row>
    <row r="941" spans="6:7" ht="14.25" customHeight="1" x14ac:dyDescent="0.35">
      <c r="F941" s="2"/>
      <c r="G941" s="3"/>
    </row>
    <row r="942" spans="6:7" ht="14.25" customHeight="1" x14ac:dyDescent="0.35">
      <c r="F942" s="2"/>
      <c r="G942" s="3"/>
    </row>
    <row r="943" spans="6:7" ht="14.25" customHeight="1" x14ac:dyDescent="0.35">
      <c r="F943" s="2"/>
      <c r="G943" s="3"/>
    </row>
    <row r="944" spans="6:7" ht="14.25" customHeight="1" x14ac:dyDescent="0.35">
      <c r="F944" s="2"/>
      <c r="G944" s="3"/>
    </row>
    <row r="945" spans="6:7" ht="14.25" customHeight="1" x14ac:dyDescent="0.35">
      <c r="F945" s="2"/>
      <c r="G945" s="3"/>
    </row>
    <row r="946" spans="6:7" ht="14.25" customHeight="1" x14ac:dyDescent="0.35">
      <c r="F946" s="2"/>
      <c r="G946" s="3"/>
    </row>
    <row r="947" spans="6:7" ht="14.25" customHeight="1" x14ac:dyDescent="0.35">
      <c r="F947" s="2"/>
      <c r="G947" s="3"/>
    </row>
    <row r="948" spans="6:7" ht="14.25" customHeight="1" x14ac:dyDescent="0.35">
      <c r="F948" s="2"/>
      <c r="G948" s="3"/>
    </row>
    <row r="949" spans="6:7" ht="14.25" customHeight="1" x14ac:dyDescent="0.35">
      <c r="F949" s="2"/>
      <c r="G949" s="3"/>
    </row>
    <row r="950" spans="6:7" ht="14.25" customHeight="1" x14ac:dyDescent="0.35">
      <c r="F950" s="2"/>
      <c r="G950" s="3"/>
    </row>
    <row r="951" spans="6:7" ht="14.25" customHeight="1" x14ac:dyDescent="0.35">
      <c r="F951" s="2"/>
      <c r="G951" s="3"/>
    </row>
    <row r="952" spans="6:7" ht="14.25" customHeight="1" x14ac:dyDescent="0.35">
      <c r="F952" s="2"/>
      <c r="G952" s="3"/>
    </row>
    <row r="953" spans="6:7" ht="14.25" customHeight="1" x14ac:dyDescent="0.35">
      <c r="F953" s="2"/>
      <c r="G953" s="3"/>
    </row>
    <row r="954" spans="6:7" ht="14.25" customHeight="1" x14ac:dyDescent="0.35">
      <c r="F954" s="2"/>
      <c r="G954" s="3"/>
    </row>
    <row r="955" spans="6:7" ht="14.25" customHeight="1" x14ac:dyDescent="0.35">
      <c r="F955" s="2"/>
      <c r="G955" s="3"/>
    </row>
    <row r="956" spans="6:7" ht="14.25" customHeight="1" x14ac:dyDescent="0.35">
      <c r="F956" s="2"/>
      <c r="G956" s="3"/>
    </row>
    <row r="957" spans="6:7" ht="14.25" customHeight="1" x14ac:dyDescent="0.35">
      <c r="F957" s="2"/>
      <c r="G957" s="3"/>
    </row>
    <row r="958" spans="6:7" ht="14.25" customHeight="1" x14ac:dyDescent="0.35">
      <c r="F958" s="2"/>
      <c r="G958" s="3"/>
    </row>
    <row r="959" spans="6:7" ht="14.25" customHeight="1" x14ac:dyDescent="0.35">
      <c r="F959" s="2"/>
      <c r="G959" s="3"/>
    </row>
    <row r="960" spans="6:7" ht="14.25" customHeight="1" x14ac:dyDescent="0.35">
      <c r="F960" s="2"/>
      <c r="G960" s="3"/>
    </row>
    <row r="961" spans="6:7" ht="14.25" customHeight="1" x14ac:dyDescent="0.35">
      <c r="F961" s="2"/>
      <c r="G961" s="3"/>
    </row>
    <row r="962" spans="6:7" ht="14.25" customHeight="1" x14ac:dyDescent="0.35">
      <c r="F962" s="2"/>
      <c r="G962" s="3"/>
    </row>
    <row r="963" spans="6:7" ht="14.25" customHeight="1" x14ac:dyDescent="0.35">
      <c r="F963" s="2"/>
      <c r="G963" s="3"/>
    </row>
    <row r="964" spans="6:7" ht="14.25" customHeight="1" x14ac:dyDescent="0.35">
      <c r="F964" s="2"/>
      <c r="G964" s="3"/>
    </row>
    <row r="965" spans="6:7" ht="14.25" customHeight="1" x14ac:dyDescent="0.35">
      <c r="F965" s="2"/>
      <c r="G965" s="3"/>
    </row>
    <row r="966" spans="6:7" ht="14.25" customHeight="1" x14ac:dyDescent="0.35">
      <c r="F966" s="2"/>
      <c r="G966" s="3"/>
    </row>
    <row r="967" spans="6:7" ht="14.25" customHeight="1" x14ac:dyDescent="0.35">
      <c r="F967" s="2"/>
      <c r="G967" s="3"/>
    </row>
    <row r="968" spans="6:7" ht="14.25" customHeight="1" x14ac:dyDescent="0.35">
      <c r="F968" s="2"/>
      <c r="G968" s="3"/>
    </row>
    <row r="969" spans="6:7" ht="14.25" customHeight="1" x14ac:dyDescent="0.35">
      <c r="F969" s="2"/>
      <c r="G969" s="3"/>
    </row>
    <row r="970" spans="6:7" ht="14.25" customHeight="1" x14ac:dyDescent="0.35">
      <c r="F970" s="2"/>
      <c r="G970" s="3"/>
    </row>
    <row r="971" spans="6:7" ht="14.25" customHeight="1" x14ac:dyDescent="0.35">
      <c r="F971" s="2"/>
      <c r="G971" s="3"/>
    </row>
    <row r="972" spans="6:7" ht="14.25" customHeight="1" x14ac:dyDescent="0.35">
      <c r="F972" s="2"/>
      <c r="G972" s="3"/>
    </row>
    <row r="973" spans="6:7" ht="14.25" customHeight="1" x14ac:dyDescent="0.35">
      <c r="F973" s="2"/>
      <c r="G973" s="3"/>
    </row>
    <row r="974" spans="6:7" ht="14.25" customHeight="1" x14ac:dyDescent="0.35">
      <c r="F974" s="2"/>
      <c r="G974" s="3"/>
    </row>
    <row r="975" spans="6:7" ht="14.25" customHeight="1" x14ac:dyDescent="0.35">
      <c r="F975" s="2"/>
      <c r="G975" s="3"/>
    </row>
    <row r="976" spans="6:7" ht="14.25" customHeight="1" x14ac:dyDescent="0.35">
      <c r="F976" s="2"/>
      <c r="G976" s="3"/>
    </row>
    <row r="977" spans="6:7" ht="14.25" customHeight="1" x14ac:dyDescent="0.35">
      <c r="F977" s="2"/>
      <c r="G977" s="3"/>
    </row>
    <row r="978" spans="6:7" ht="14.25" customHeight="1" x14ac:dyDescent="0.35">
      <c r="F978" s="2"/>
      <c r="G978" s="3"/>
    </row>
    <row r="979" spans="6:7" ht="14.25" customHeight="1" x14ac:dyDescent="0.35">
      <c r="F979" s="2"/>
      <c r="G979" s="3"/>
    </row>
    <row r="980" spans="6:7" ht="14.25" customHeight="1" x14ac:dyDescent="0.35">
      <c r="F980" s="2"/>
      <c r="G980" s="3"/>
    </row>
    <row r="981" spans="6:7" ht="14.25" customHeight="1" x14ac:dyDescent="0.35">
      <c r="F981" s="2"/>
      <c r="G981" s="3"/>
    </row>
    <row r="982" spans="6:7" ht="14.25" customHeight="1" x14ac:dyDescent="0.35">
      <c r="F982" s="2"/>
      <c r="G982" s="3"/>
    </row>
    <row r="983" spans="6:7" ht="14.25" customHeight="1" x14ac:dyDescent="0.35">
      <c r="F983" s="2"/>
      <c r="G983" s="3"/>
    </row>
    <row r="984" spans="6:7" ht="14.25" customHeight="1" x14ac:dyDescent="0.35">
      <c r="F984" s="2"/>
      <c r="G984" s="3"/>
    </row>
    <row r="985" spans="6:7" ht="14.25" customHeight="1" x14ac:dyDescent="0.35">
      <c r="F985" s="2"/>
      <c r="G985" s="3"/>
    </row>
    <row r="986" spans="6:7" ht="14.25" customHeight="1" x14ac:dyDescent="0.35">
      <c r="F986" s="2"/>
      <c r="G986" s="3"/>
    </row>
    <row r="987" spans="6:7" ht="14.25" customHeight="1" x14ac:dyDescent="0.35">
      <c r="F987" s="2"/>
      <c r="G987" s="3"/>
    </row>
    <row r="988" spans="6:7" ht="14.25" customHeight="1" x14ac:dyDescent="0.35">
      <c r="F988" s="2"/>
      <c r="G988" s="3"/>
    </row>
    <row r="989" spans="6:7" ht="14.25" customHeight="1" x14ac:dyDescent="0.35">
      <c r="F989" s="2"/>
      <c r="G989" s="3"/>
    </row>
    <row r="990" spans="6:7" ht="14.25" customHeight="1" x14ac:dyDescent="0.35">
      <c r="F990" s="2"/>
      <c r="G990" s="3"/>
    </row>
    <row r="991" spans="6:7" ht="14.25" customHeight="1" x14ac:dyDescent="0.35">
      <c r="F991" s="2"/>
      <c r="G991" s="3"/>
    </row>
    <row r="992" spans="6:7" ht="14.25" customHeight="1" x14ac:dyDescent="0.35">
      <c r="F992" s="2"/>
      <c r="G992" s="3"/>
    </row>
    <row r="993" spans="6:7" ht="14.25" customHeight="1" x14ac:dyDescent="0.35">
      <c r="F993" s="2"/>
      <c r="G993" s="3"/>
    </row>
    <row r="994" spans="6:7" ht="14.25" customHeight="1" x14ac:dyDescent="0.35">
      <c r="F994" s="2"/>
      <c r="G994" s="3"/>
    </row>
    <row r="995" spans="6:7" ht="14.25" customHeight="1" x14ac:dyDescent="0.35">
      <c r="F995" s="2"/>
      <c r="G995" s="3"/>
    </row>
    <row r="996" spans="6:7" ht="14.25" customHeight="1" x14ac:dyDescent="0.35">
      <c r="F996" s="2"/>
      <c r="G996" s="3"/>
    </row>
    <row r="997" spans="6:7" ht="14.25" customHeight="1" x14ac:dyDescent="0.35">
      <c r="F997" s="2"/>
      <c r="G997" s="3"/>
    </row>
    <row r="998" spans="6:7" ht="14.25" customHeight="1" x14ac:dyDescent="0.35">
      <c r="F998" s="2"/>
      <c r="G998" s="3"/>
    </row>
    <row r="999" spans="6:7" ht="14.25" customHeight="1" x14ac:dyDescent="0.35">
      <c r="F999" s="2"/>
      <c r="G999" s="3"/>
    </row>
    <row r="1000" spans="6:7" ht="14.25" customHeight="1" x14ac:dyDescent="0.35">
      <c r="F1000" s="2"/>
      <c r="G1000" s="3"/>
    </row>
    <row r="1001" spans="6:7" ht="14.25" customHeight="1" x14ac:dyDescent="0.35">
      <c r="F1001" s="2"/>
      <c r="G1001" s="3"/>
    </row>
    <row r="1002" spans="6:7" ht="14.25" customHeight="1" x14ac:dyDescent="0.35">
      <c r="F1002" s="2"/>
      <c r="G1002" s="3"/>
    </row>
    <row r="1003" spans="6:7" ht="14.25" customHeight="1" x14ac:dyDescent="0.35">
      <c r="F1003" s="2"/>
      <c r="G1003" s="3"/>
    </row>
    <row r="1004" spans="6:7" ht="14.25" customHeight="1" x14ac:dyDescent="0.35">
      <c r="F1004" s="2"/>
      <c r="G1004" s="3"/>
    </row>
    <row r="1005" spans="6:7" ht="14.25" customHeight="1" x14ac:dyDescent="0.35">
      <c r="F1005" s="2"/>
      <c r="G1005" s="3"/>
    </row>
    <row r="1006" spans="6:7" ht="14.25" customHeight="1" x14ac:dyDescent="0.35">
      <c r="F1006" s="2"/>
      <c r="G1006" s="3"/>
    </row>
    <row r="1007" spans="6:7" ht="14.25" customHeight="1" x14ac:dyDescent="0.35">
      <c r="F1007" s="2"/>
      <c r="G1007" s="3"/>
    </row>
    <row r="1008" spans="6:7" ht="14.25" customHeight="1" x14ac:dyDescent="0.35">
      <c r="F1008" s="2"/>
      <c r="G1008" s="3"/>
    </row>
    <row r="1009" spans="6:7" ht="14.25" customHeight="1" x14ac:dyDescent="0.35">
      <c r="F1009" s="2"/>
      <c r="G1009" s="3"/>
    </row>
    <row r="1010" spans="6:7" ht="14.25" customHeight="1" x14ac:dyDescent="0.35">
      <c r="F1010" s="2"/>
      <c r="G1010" s="3"/>
    </row>
    <row r="1011" spans="6:7" ht="14.25" customHeight="1" x14ac:dyDescent="0.35">
      <c r="F1011" s="2"/>
      <c r="G1011" s="3"/>
    </row>
    <row r="1012" spans="6:7" ht="14.25" customHeight="1" x14ac:dyDescent="0.35">
      <c r="F1012" s="2"/>
      <c r="G1012" s="3"/>
    </row>
    <row r="1013" spans="6:7" ht="14.25" customHeight="1" x14ac:dyDescent="0.35">
      <c r="F1013" s="2"/>
      <c r="G1013" s="3"/>
    </row>
    <row r="1014" spans="6:7" ht="14.25" customHeight="1" x14ac:dyDescent="0.35">
      <c r="F1014" s="2"/>
      <c r="G1014" s="3"/>
    </row>
    <row r="1015" spans="6:7" ht="14.25" customHeight="1" x14ac:dyDescent="0.35">
      <c r="F1015" s="2"/>
      <c r="G1015" s="3"/>
    </row>
    <row r="1016" spans="6:7" ht="14.25" customHeight="1" x14ac:dyDescent="0.35">
      <c r="F1016" s="2"/>
      <c r="G1016" s="3"/>
    </row>
    <row r="1017" spans="6:7" ht="14.25" customHeight="1" x14ac:dyDescent="0.35">
      <c r="F1017" s="2"/>
      <c r="G1017" s="3"/>
    </row>
    <row r="1018" spans="6:7" ht="14.25" customHeight="1" x14ac:dyDescent="0.35">
      <c r="F1018" s="2"/>
      <c r="G1018" s="3"/>
    </row>
    <row r="1019" spans="6:7" ht="14.25" customHeight="1" x14ac:dyDescent="0.35">
      <c r="F1019" s="2"/>
      <c r="G1019" s="3"/>
    </row>
    <row r="1020" spans="6:7" ht="14.25" customHeight="1" x14ac:dyDescent="0.35">
      <c r="F1020" s="2"/>
      <c r="G1020" s="3"/>
    </row>
    <row r="1021" spans="6:7" ht="14.25" customHeight="1" x14ac:dyDescent="0.35">
      <c r="F1021" s="2"/>
      <c r="G1021" s="3"/>
    </row>
    <row r="1022" spans="6:7" ht="14.25" customHeight="1" x14ac:dyDescent="0.35">
      <c r="F1022" s="2"/>
      <c r="G1022" s="3"/>
    </row>
    <row r="1023" spans="6:7" ht="14.25" customHeight="1" x14ac:dyDescent="0.35">
      <c r="F1023" s="2"/>
      <c r="G1023" s="3"/>
    </row>
    <row r="1024" spans="6:7" ht="14.25" customHeight="1" x14ac:dyDescent="0.35">
      <c r="F1024" s="2"/>
      <c r="G1024" s="3"/>
    </row>
    <row r="1025" spans="6:7" ht="14.25" customHeight="1" x14ac:dyDescent="0.35">
      <c r="F1025" s="2"/>
      <c r="G1025" s="3"/>
    </row>
    <row r="1026" spans="6:7" ht="14.25" customHeight="1" x14ac:dyDescent="0.35">
      <c r="F1026" s="2"/>
      <c r="G1026" s="3"/>
    </row>
    <row r="1027" spans="6:7" ht="14.25" customHeight="1" x14ac:dyDescent="0.35">
      <c r="F1027" s="2"/>
      <c r="G1027" s="3"/>
    </row>
  </sheetData>
  <mergeCells count="31">
    <mergeCell ref="B118:D118"/>
    <mergeCell ref="I120:K120"/>
    <mergeCell ref="B121:D121"/>
    <mergeCell ref="B50:D50"/>
    <mergeCell ref="F120:G120"/>
    <mergeCell ref="F121:G121"/>
    <mergeCell ref="B63:D63"/>
    <mergeCell ref="B76:D76"/>
    <mergeCell ref="B89:D89"/>
    <mergeCell ref="B102:D102"/>
    <mergeCell ref="B115:D115"/>
    <mergeCell ref="B119:D119"/>
    <mergeCell ref="B116:D116"/>
    <mergeCell ref="B117:D117"/>
    <mergeCell ref="B36:C36"/>
    <mergeCell ref="B37:D37"/>
    <mergeCell ref="F29:H29"/>
    <mergeCell ref="F28:H28"/>
    <mergeCell ref="F30:H30"/>
    <mergeCell ref="F31:H31"/>
    <mergeCell ref="F32:H32"/>
    <mergeCell ref="B20:C20"/>
    <mergeCell ref="B21:C21"/>
    <mergeCell ref="B22:C22"/>
    <mergeCell ref="B23:C23"/>
    <mergeCell ref="F27:H27"/>
    <mergeCell ref="B2:E2"/>
    <mergeCell ref="B3:E15"/>
    <mergeCell ref="B17:D17"/>
    <mergeCell ref="B18:C18"/>
    <mergeCell ref="B19:C19"/>
  </mergeCells>
  <dataValidations count="1">
    <dataValidation type="list" allowBlank="1" showErrorMessage="1" sqref="E77:E88 E64:E75 E103:E114 E51:E62 E38:E49 E90:E101" xr:uid="{00000000-0002-0000-0000-000001000000}">
      <formula1>"QA,PIP,PCA,Other"</formula1>
    </dataValidation>
  </dataValidations>
  <pageMargins left="0.25" right="0.25" top="0.25" bottom="0.25" header="0.25" footer="0.25"/>
  <pageSetup paperSize="5" scale="36" orientation="landscape" r:id="rId1"/>
  <headerFooter>
    <oddFooter>&amp;C&amp;"-,Bold" Confidential&amp;RPage &amp;P</oddFooter>
  </headerFooter>
  <ignoredErrors>
    <ignoredError sqref="I89 I50 I102 K101:L102 M101:M106 K50:L56 K60:L69 M76:M79 K73:L79 K83:M93 K97:M98"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55B23-DED4-41F6-A217-954A1234E0D0}">
  <sheetPr>
    <tabColor theme="7" tint="0.79998168889431442"/>
    <pageSetUpPr fitToPage="1"/>
  </sheetPr>
  <dimension ref="A1:AB1034"/>
  <sheetViews>
    <sheetView showGridLines="0" zoomScale="85" zoomScaleNormal="85" workbookViewId="0"/>
  </sheetViews>
  <sheetFormatPr defaultColWidth="12.58203125" defaultRowHeight="15" customHeight="1" x14ac:dyDescent="0.35"/>
  <cols>
    <col min="1" max="1" width="1.58203125" style="1" customWidth="1"/>
    <col min="2" max="2" width="5.25" style="1" customWidth="1"/>
    <col min="3" max="3" width="38.33203125" style="1" customWidth="1"/>
    <col min="4" max="4" width="37.58203125" style="1" customWidth="1"/>
    <col min="5" max="5" width="11" style="1" customWidth="1"/>
    <col min="6" max="6" width="10.08203125" style="1" customWidth="1"/>
    <col min="7" max="7" width="14.33203125" style="1" customWidth="1"/>
    <col min="8" max="8" width="14.08203125" style="1" customWidth="1"/>
    <col min="9" max="25" width="15.33203125" style="1" customWidth="1"/>
    <col min="26" max="26" width="8" style="1" customWidth="1"/>
    <col min="27" max="16384" width="12.58203125" style="1"/>
  </cols>
  <sheetData>
    <row r="1" spans="2:28" ht="14.25" customHeight="1" thickBot="1" x14ac:dyDescent="0.4">
      <c r="F1" s="2"/>
      <c r="G1" s="3"/>
    </row>
    <row r="2" spans="2:28" ht="16" thickBot="1" x14ac:dyDescent="0.4">
      <c r="B2" s="177" t="s">
        <v>0</v>
      </c>
      <c r="C2" s="178"/>
      <c r="D2" s="178"/>
      <c r="E2" s="179"/>
      <c r="F2" s="2"/>
      <c r="G2" s="3"/>
      <c r="H2" s="3"/>
      <c r="I2" s="3"/>
      <c r="J2" s="3"/>
      <c r="K2" s="3"/>
      <c r="L2" s="3"/>
      <c r="M2" s="3"/>
      <c r="N2" s="3"/>
      <c r="O2" s="3"/>
      <c r="P2" s="3"/>
      <c r="Q2" s="3"/>
      <c r="R2" s="3"/>
    </row>
    <row r="3" spans="2:28" ht="21.75" customHeight="1" x14ac:dyDescent="0.35">
      <c r="B3" s="180" t="s">
        <v>121</v>
      </c>
      <c r="C3" s="181"/>
      <c r="D3" s="181"/>
      <c r="E3" s="182"/>
      <c r="F3" s="2"/>
      <c r="G3" s="3"/>
      <c r="H3" s="3"/>
      <c r="I3" s="3"/>
      <c r="J3" s="3"/>
      <c r="K3" s="3"/>
      <c r="L3" s="3"/>
      <c r="M3" s="3"/>
      <c r="N3" s="3"/>
      <c r="O3" s="3"/>
      <c r="P3" s="3"/>
      <c r="Q3" s="3"/>
      <c r="R3" s="3"/>
    </row>
    <row r="4" spans="2:28" ht="19.5" customHeight="1" x14ac:dyDescent="0.35">
      <c r="B4" s="183"/>
      <c r="C4" s="184"/>
      <c r="D4" s="184"/>
      <c r="E4" s="185"/>
      <c r="F4" s="2"/>
      <c r="G4" s="3"/>
      <c r="H4" s="3"/>
      <c r="I4" s="3"/>
      <c r="J4" s="3"/>
      <c r="K4" s="3"/>
      <c r="L4" s="3"/>
      <c r="M4" s="3"/>
      <c r="N4" s="3"/>
      <c r="O4" s="3"/>
      <c r="P4" s="3"/>
      <c r="Q4" s="3"/>
      <c r="R4" s="3"/>
    </row>
    <row r="5" spans="2:28" ht="22.5" customHeight="1" x14ac:dyDescent="0.35">
      <c r="B5" s="183"/>
      <c r="C5" s="184"/>
      <c r="D5" s="184"/>
      <c r="E5" s="185"/>
      <c r="F5" s="2"/>
      <c r="G5" s="3"/>
      <c r="H5" s="3"/>
      <c r="I5" s="3"/>
      <c r="J5" s="3"/>
      <c r="K5" s="3"/>
      <c r="L5" s="3"/>
      <c r="M5" s="3"/>
      <c r="N5" s="3"/>
      <c r="O5" s="3"/>
      <c r="P5" s="3"/>
      <c r="Q5" s="3"/>
      <c r="R5" s="3"/>
    </row>
    <row r="6" spans="2:28" ht="14.25" customHeight="1" x14ac:dyDescent="0.35">
      <c r="B6" s="183"/>
      <c r="C6" s="184"/>
      <c r="D6" s="184"/>
      <c r="E6" s="185"/>
      <c r="F6" s="2"/>
      <c r="G6" s="3"/>
      <c r="H6" s="3"/>
      <c r="I6" s="3"/>
      <c r="J6" s="3"/>
      <c r="K6" s="3"/>
      <c r="L6" s="3"/>
      <c r="M6" s="3"/>
      <c r="N6" s="3"/>
      <c r="O6" s="3"/>
      <c r="P6" s="3"/>
      <c r="Q6" s="3"/>
      <c r="R6" s="3"/>
    </row>
    <row r="7" spans="2:28" ht="14.25" customHeight="1" x14ac:dyDescent="0.35">
      <c r="B7" s="183"/>
      <c r="C7" s="184"/>
      <c r="D7" s="184"/>
      <c r="E7" s="185"/>
      <c r="F7" s="2"/>
      <c r="G7" s="3"/>
      <c r="H7" s="3"/>
      <c r="I7" s="3"/>
      <c r="J7" s="3"/>
      <c r="K7" s="3"/>
      <c r="L7" s="3"/>
      <c r="M7" s="3"/>
      <c r="N7" s="3"/>
      <c r="O7" s="3"/>
      <c r="P7" s="3"/>
      <c r="Q7" s="3"/>
      <c r="R7" s="3"/>
    </row>
    <row r="8" spans="2:28" ht="14.25" customHeight="1" x14ac:dyDescent="0.35">
      <c r="B8" s="183"/>
      <c r="C8" s="184"/>
      <c r="D8" s="184"/>
      <c r="E8" s="185"/>
      <c r="F8" s="2"/>
      <c r="G8" s="3"/>
      <c r="H8" s="3"/>
      <c r="I8" s="3"/>
      <c r="J8" s="3"/>
      <c r="K8" s="3"/>
      <c r="L8" s="3"/>
      <c r="M8" s="3"/>
      <c r="N8" s="3"/>
      <c r="O8" s="3"/>
      <c r="P8" s="3"/>
      <c r="Q8" s="3"/>
      <c r="R8" s="3"/>
    </row>
    <row r="9" spans="2:28" ht="14.25" customHeight="1" x14ac:dyDescent="0.35">
      <c r="B9" s="183"/>
      <c r="C9" s="184"/>
      <c r="D9" s="184"/>
      <c r="E9" s="185"/>
      <c r="F9" s="2"/>
      <c r="G9" s="3"/>
    </row>
    <row r="10" spans="2:28" ht="14.25" customHeight="1" x14ac:dyDescent="0.35">
      <c r="B10" s="183"/>
      <c r="C10" s="184"/>
      <c r="D10" s="184"/>
      <c r="E10" s="185"/>
      <c r="F10" s="2"/>
      <c r="G10" s="3"/>
    </row>
    <row r="11" spans="2:28" ht="14.25" customHeight="1" x14ac:dyDescent="0.35">
      <c r="B11" s="183"/>
      <c r="C11" s="184"/>
      <c r="D11" s="184"/>
      <c r="E11" s="185"/>
      <c r="F11" s="2"/>
      <c r="G11" s="3"/>
    </row>
    <row r="12" spans="2:28" ht="14.25" customHeight="1" x14ac:dyDescent="0.35">
      <c r="B12" s="183"/>
      <c r="C12" s="184"/>
      <c r="D12" s="184"/>
      <c r="E12" s="185"/>
      <c r="F12" s="2"/>
      <c r="G12" s="3"/>
    </row>
    <row r="13" spans="2:28" ht="14.25" customHeight="1" x14ac:dyDescent="0.35">
      <c r="B13" s="183"/>
      <c r="C13" s="184"/>
      <c r="D13" s="184"/>
      <c r="E13" s="185"/>
      <c r="F13" s="2"/>
      <c r="G13" s="3"/>
    </row>
    <row r="14" spans="2:28" ht="14.25" customHeight="1" x14ac:dyDescent="0.35">
      <c r="B14" s="183"/>
      <c r="C14" s="184"/>
      <c r="D14" s="184"/>
      <c r="E14" s="185"/>
      <c r="F14" s="2"/>
      <c r="G14" s="3"/>
    </row>
    <row r="15" spans="2:28" ht="14.25" customHeight="1" thickBot="1" x14ac:dyDescent="0.4">
      <c r="B15" s="186"/>
      <c r="C15" s="187"/>
      <c r="D15" s="187"/>
      <c r="E15" s="188"/>
      <c r="F15" s="2"/>
      <c r="G15" s="3"/>
    </row>
    <row r="16" spans="2:28" ht="18.75" customHeight="1" thickBot="1" x14ac:dyDescent="0.4">
      <c r="E16" s="3"/>
      <c r="F16" s="3"/>
      <c r="G16" s="3"/>
      <c r="H16" s="3"/>
      <c r="I16" s="3"/>
      <c r="J16" s="3"/>
      <c r="K16" s="3"/>
      <c r="L16" s="3"/>
      <c r="M16" s="3"/>
      <c r="N16" s="3"/>
      <c r="O16" s="3"/>
      <c r="P16" s="3"/>
      <c r="Q16" s="3"/>
      <c r="R16" s="3"/>
      <c r="S16" s="3"/>
      <c r="T16" s="3"/>
      <c r="U16" s="3"/>
      <c r="V16" s="3"/>
      <c r="W16" s="3"/>
      <c r="X16" s="3"/>
      <c r="Y16" s="3"/>
      <c r="Z16" s="3"/>
      <c r="AA16" s="3"/>
      <c r="AB16" s="3"/>
    </row>
    <row r="17" spans="1:28" ht="15.5" x14ac:dyDescent="0.35">
      <c r="B17" s="130" t="s">
        <v>1</v>
      </c>
      <c r="C17" s="131"/>
      <c r="D17" s="132"/>
      <c r="E17" s="3"/>
      <c r="F17" s="3"/>
      <c r="G17" s="3"/>
      <c r="H17" s="3"/>
      <c r="I17" s="3"/>
      <c r="J17" s="3"/>
      <c r="K17" s="3"/>
      <c r="L17" s="3"/>
      <c r="M17" s="3"/>
      <c r="N17" s="3"/>
      <c r="O17" s="3"/>
      <c r="P17" s="3"/>
      <c r="Q17" s="3"/>
      <c r="R17" s="3"/>
      <c r="S17" s="3"/>
      <c r="T17" s="3"/>
      <c r="U17" s="3"/>
      <c r="V17" s="3"/>
      <c r="W17" s="3"/>
      <c r="X17" s="3"/>
      <c r="Y17" s="3"/>
      <c r="Z17" s="3"/>
      <c r="AA17" s="3"/>
      <c r="AB17" s="3"/>
    </row>
    <row r="18" spans="1:28" ht="24" customHeight="1" x14ac:dyDescent="0.35">
      <c r="B18" s="133" t="s">
        <v>2</v>
      </c>
      <c r="C18" s="134"/>
      <c r="D18" s="121" t="s">
        <v>106</v>
      </c>
      <c r="E18" s="3"/>
      <c r="F18" s="3"/>
      <c r="G18" s="3"/>
      <c r="H18" s="3"/>
      <c r="I18" s="3"/>
      <c r="J18" s="3"/>
      <c r="K18" s="3"/>
      <c r="L18" s="3"/>
      <c r="M18" s="3"/>
      <c r="N18" s="3"/>
      <c r="O18" s="3"/>
      <c r="P18" s="3"/>
      <c r="Q18" s="3"/>
      <c r="R18" s="3"/>
      <c r="S18" s="3"/>
      <c r="T18" s="3"/>
      <c r="U18" s="3"/>
      <c r="V18" s="3"/>
      <c r="W18" s="3"/>
      <c r="X18" s="3"/>
      <c r="Y18" s="3"/>
      <c r="Z18" s="3"/>
      <c r="AA18" s="3"/>
      <c r="AB18" s="3"/>
    </row>
    <row r="19" spans="1:28" ht="24" customHeight="1" x14ac:dyDescent="0.35">
      <c r="B19" s="133" t="s">
        <v>3</v>
      </c>
      <c r="C19" s="134"/>
      <c r="D19" s="122">
        <v>100</v>
      </c>
      <c r="E19" s="3"/>
      <c r="F19" s="3"/>
      <c r="G19" s="3"/>
      <c r="H19" s="3"/>
      <c r="I19" s="3"/>
      <c r="J19" s="3"/>
      <c r="K19" s="3"/>
      <c r="L19" s="3"/>
      <c r="M19" s="3"/>
      <c r="N19" s="3"/>
      <c r="O19" s="3"/>
      <c r="P19" s="3"/>
      <c r="Q19" s="3"/>
      <c r="R19" s="3"/>
      <c r="S19" s="3"/>
      <c r="T19" s="3"/>
      <c r="U19" s="3"/>
      <c r="V19" s="3"/>
      <c r="W19" s="3"/>
      <c r="X19" s="3"/>
      <c r="Y19" s="3"/>
      <c r="Z19" s="3"/>
      <c r="AA19" s="3"/>
      <c r="AB19" s="3"/>
    </row>
    <row r="20" spans="1:28" ht="24" customHeight="1" x14ac:dyDescent="0.35">
      <c r="B20" s="133" t="s">
        <v>4</v>
      </c>
      <c r="C20" s="134"/>
      <c r="D20" s="123">
        <v>7.2499999999999995E-2</v>
      </c>
      <c r="E20" s="3"/>
      <c r="F20" s="3"/>
      <c r="G20" s="3"/>
      <c r="H20" s="3"/>
      <c r="I20" s="3"/>
      <c r="J20" s="3"/>
      <c r="K20" s="3"/>
      <c r="L20" s="3"/>
      <c r="M20" s="3"/>
      <c r="N20" s="3"/>
      <c r="O20" s="3"/>
      <c r="P20" s="3"/>
      <c r="Q20" s="3"/>
      <c r="R20" s="3"/>
      <c r="S20" s="3"/>
      <c r="T20" s="3"/>
      <c r="U20" s="3"/>
      <c r="V20" s="3"/>
      <c r="W20" s="3"/>
      <c r="X20" s="3"/>
      <c r="Y20" s="3"/>
      <c r="Z20" s="3"/>
      <c r="AA20" s="3"/>
      <c r="AB20" s="3"/>
    </row>
    <row r="21" spans="1:28" ht="24" customHeight="1" x14ac:dyDescent="0.35">
      <c r="B21" s="133" t="s">
        <v>5</v>
      </c>
      <c r="C21" s="134"/>
      <c r="D21" s="121"/>
      <c r="E21" s="3"/>
      <c r="F21" s="3"/>
      <c r="G21" s="3"/>
      <c r="H21" s="3"/>
      <c r="I21" s="3"/>
      <c r="J21" s="3"/>
      <c r="K21" s="3"/>
      <c r="L21" s="3"/>
      <c r="M21" s="3"/>
      <c r="N21" s="3"/>
      <c r="O21" s="3"/>
      <c r="P21" s="3"/>
      <c r="Q21" s="3"/>
      <c r="R21" s="3"/>
      <c r="S21" s="3"/>
      <c r="T21" s="3"/>
      <c r="U21" s="3"/>
      <c r="V21" s="3"/>
      <c r="W21" s="3"/>
      <c r="X21" s="3"/>
      <c r="Y21" s="3"/>
      <c r="Z21" s="3"/>
      <c r="AA21" s="3"/>
      <c r="AB21" s="3"/>
    </row>
    <row r="22" spans="1:28" ht="24" customHeight="1" x14ac:dyDescent="0.35">
      <c r="B22" s="135" t="s">
        <v>6</v>
      </c>
      <c r="C22" s="134"/>
      <c r="D22" s="124"/>
      <c r="E22" s="3"/>
      <c r="F22" s="3"/>
      <c r="G22" s="3"/>
      <c r="H22" s="3"/>
      <c r="I22" s="3"/>
      <c r="J22" s="3"/>
      <c r="K22" s="3"/>
      <c r="L22" s="3"/>
      <c r="M22" s="3"/>
      <c r="N22" s="3"/>
      <c r="O22" s="3"/>
      <c r="P22" s="3"/>
      <c r="Q22" s="3"/>
      <c r="R22" s="3"/>
      <c r="S22" s="3"/>
      <c r="T22" s="3"/>
      <c r="U22" s="3"/>
      <c r="V22" s="3"/>
      <c r="W22" s="3"/>
      <c r="X22" s="3"/>
      <c r="Y22" s="3"/>
      <c r="Z22" s="3"/>
      <c r="AA22" s="3"/>
      <c r="AB22" s="3"/>
    </row>
    <row r="23" spans="1:28" ht="24" customHeight="1" thickBot="1" x14ac:dyDescent="0.4">
      <c r="B23" s="128" t="s">
        <v>7</v>
      </c>
      <c r="C23" s="129"/>
      <c r="D23" s="125">
        <v>2025</v>
      </c>
      <c r="E23" s="3"/>
      <c r="F23" s="3"/>
      <c r="G23" s="3"/>
      <c r="H23" s="3"/>
      <c r="I23" s="3"/>
      <c r="J23" s="3"/>
      <c r="K23" s="3"/>
      <c r="L23" s="3"/>
      <c r="M23" s="3"/>
      <c r="N23" s="3"/>
      <c r="O23" s="3"/>
      <c r="P23" s="3"/>
      <c r="Q23" s="3"/>
      <c r="R23" s="3"/>
      <c r="S23" s="3"/>
      <c r="T23" s="3"/>
      <c r="U23" s="3"/>
      <c r="V23" s="3"/>
      <c r="W23" s="3"/>
      <c r="X23" s="3"/>
      <c r="Y23" s="3"/>
      <c r="Z23" s="3"/>
      <c r="AA23" s="3"/>
      <c r="AB23" s="3"/>
    </row>
    <row r="24" spans="1:28" ht="14.25" customHeight="1" x14ac:dyDescent="0.35">
      <c r="E24" s="3"/>
      <c r="F24" s="3"/>
      <c r="G24" s="3"/>
      <c r="H24" s="3"/>
      <c r="I24" s="3"/>
      <c r="J24" s="3"/>
      <c r="K24" s="3"/>
      <c r="L24" s="3"/>
      <c r="M24" s="3"/>
      <c r="N24" s="3"/>
      <c r="O24" s="3"/>
      <c r="P24" s="3"/>
      <c r="Q24" s="3"/>
      <c r="R24" s="3"/>
      <c r="S24" s="3"/>
      <c r="T24" s="3"/>
      <c r="U24" s="3"/>
      <c r="V24" s="3"/>
      <c r="W24" s="3"/>
      <c r="X24" s="3"/>
      <c r="Y24" s="3"/>
      <c r="Z24" s="3"/>
      <c r="AA24" s="3"/>
      <c r="AB24" s="3"/>
    </row>
    <row r="25" spans="1:28" ht="24" customHeight="1" thickBot="1" x14ac:dyDescent="0.6">
      <c r="B25" s="4" t="s">
        <v>8</v>
      </c>
      <c r="C25" s="5"/>
      <c r="D25" s="5"/>
      <c r="E25" s="5"/>
      <c r="F25" s="5"/>
      <c r="G25" s="5"/>
      <c r="H25" s="5"/>
      <c r="I25" s="5"/>
      <c r="J25" s="5"/>
      <c r="K25" s="5"/>
      <c r="L25" s="5"/>
      <c r="M25" s="5"/>
      <c r="N25" s="5"/>
      <c r="O25" s="5"/>
      <c r="P25" s="5"/>
      <c r="Q25" s="5"/>
      <c r="R25" s="5"/>
      <c r="S25" s="5"/>
      <c r="T25" s="5"/>
      <c r="U25" s="5"/>
      <c r="V25" s="5"/>
      <c r="W25" s="5"/>
      <c r="X25" s="5"/>
      <c r="Y25" s="5"/>
      <c r="Z25" s="5"/>
    </row>
    <row r="26" spans="1:28" s="18" customFormat="1" ht="16" thickBot="1" x14ac:dyDescent="0.4">
      <c r="A26" s="1"/>
      <c r="F26" s="19"/>
      <c r="G26" s="20"/>
    </row>
    <row r="27" spans="1:28" s="18" customFormat="1" ht="15.5" x14ac:dyDescent="0.35">
      <c r="A27" s="1"/>
      <c r="B27" s="48"/>
      <c r="C27" s="49"/>
      <c r="D27" s="49"/>
      <c r="E27" s="49"/>
      <c r="F27" s="189">
        <f>D23</f>
        <v>2025</v>
      </c>
      <c r="G27" s="190"/>
      <c r="H27" s="191"/>
      <c r="I27" s="51" t="s">
        <v>10</v>
      </c>
      <c r="J27" s="51" t="s">
        <v>11</v>
      </c>
      <c r="K27" s="51" t="s">
        <v>12</v>
      </c>
      <c r="L27" s="51" t="s">
        <v>13</v>
      </c>
      <c r="M27" s="51" t="s">
        <v>14</v>
      </c>
      <c r="N27" s="51" t="s">
        <v>15</v>
      </c>
      <c r="O27" s="51" t="s">
        <v>16</v>
      </c>
      <c r="P27" s="51" t="s">
        <v>17</v>
      </c>
      <c r="Q27" s="51" t="s">
        <v>18</v>
      </c>
      <c r="R27" s="51" t="s">
        <v>19</v>
      </c>
      <c r="S27" s="51" t="s">
        <v>20</v>
      </c>
      <c r="T27" s="52" t="s">
        <v>21</v>
      </c>
    </row>
    <row r="28" spans="1:28" s="18" customFormat="1" ht="15.5" x14ac:dyDescent="0.35">
      <c r="A28" s="1"/>
      <c r="B28" s="53" t="s">
        <v>22</v>
      </c>
      <c r="C28" s="54"/>
      <c r="D28" s="54"/>
      <c r="E28" s="54"/>
      <c r="F28" s="197">
        <f>SUM(I28:T28)</f>
        <v>1200000</v>
      </c>
      <c r="G28" s="198"/>
      <c r="H28" s="199"/>
      <c r="I28" s="67">
        <v>100000</v>
      </c>
      <c r="J28" s="67">
        <v>100000</v>
      </c>
      <c r="K28" s="67">
        <v>100000</v>
      </c>
      <c r="L28" s="67">
        <v>100000</v>
      </c>
      <c r="M28" s="67">
        <v>100000</v>
      </c>
      <c r="N28" s="67">
        <v>100000</v>
      </c>
      <c r="O28" s="67">
        <v>100000</v>
      </c>
      <c r="P28" s="67">
        <v>100000</v>
      </c>
      <c r="Q28" s="67">
        <v>100000</v>
      </c>
      <c r="R28" s="67">
        <v>100000</v>
      </c>
      <c r="S28" s="67">
        <v>100000</v>
      </c>
      <c r="T28" s="68">
        <v>100000</v>
      </c>
    </row>
    <row r="29" spans="1:28" s="18" customFormat="1" ht="15.5" x14ac:dyDescent="0.35">
      <c r="A29" s="1"/>
      <c r="B29" s="53" t="s">
        <v>23</v>
      </c>
      <c r="C29" s="54"/>
      <c r="D29" s="54"/>
      <c r="E29" s="54"/>
      <c r="F29" s="194">
        <v>0.04</v>
      </c>
      <c r="G29" s="195"/>
      <c r="H29" s="196"/>
      <c r="I29" s="17">
        <f t="shared" ref="I29:T29" si="0">$F$29</f>
        <v>0.04</v>
      </c>
      <c r="J29" s="17">
        <f t="shared" si="0"/>
        <v>0.04</v>
      </c>
      <c r="K29" s="17">
        <f t="shared" si="0"/>
        <v>0.04</v>
      </c>
      <c r="L29" s="17">
        <f t="shared" si="0"/>
        <v>0.04</v>
      </c>
      <c r="M29" s="17">
        <f t="shared" si="0"/>
        <v>0.04</v>
      </c>
      <c r="N29" s="17">
        <f t="shared" si="0"/>
        <v>0.04</v>
      </c>
      <c r="O29" s="17">
        <f t="shared" si="0"/>
        <v>0.04</v>
      </c>
      <c r="P29" s="17">
        <f t="shared" si="0"/>
        <v>0.04</v>
      </c>
      <c r="Q29" s="17">
        <f t="shared" si="0"/>
        <v>0.04</v>
      </c>
      <c r="R29" s="17">
        <f t="shared" si="0"/>
        <v>0.04</v>
      </c>
      <c r="S29" s="17">
        <f t="shared" si="0"/>
        <v>0.04</v>
      </c>
      <c r="T29" s="55">
        <f t="shared" si="0"/>
        <v>0.04</v>
      </c>
    </row>
    <row r="30" spans="1:28" s="18" customFormat="1" ht="15.5" x14ac:dyDescent="0.35">
      <c r="A30" s="1"/>
      <c r="B30" s="53" t="s">
        <v>24</v>
      </c>
      <c r="C30" s="54"/>
      <c r="D30" s="54"/>
      <c r="E30" s="54"/>
      <c r="F30" s="197">
        <f>F28*F29</f>
        <v>48000</v>
      </c>
      <c r="G30" s="198"/>
      <c r="H30" s="199"/>
      <c r="I30" s="66">
        <f t="shared" ref="I30:T30" si="1">I28*I29</f>
        <v>4000</v>
      </c>
      <c r="J30" s="66">
        <f t="shared" si="1"/>
        <v>4000</v>
      </c>
      <c r="K30" s="66">
        <f t="shared" si="1"/>
        <v>4000</v>
      </c>
      <c r="L30" s="66">
        <f t="shared" si="1"/>
        <v>4000</v>
      </c>
      <c r="M30" s="66">
        <f t="shared" si="1"/>
        <v>4000</v>
      </c>
      <c r="N30" s="66">
        <f t="shared" si="1"/>
        <v>4000</v>
      </c>
      <c r="O30" s="66">
        <f t="shared" si="1"/>
        <v>4000</v>
      </c>
      <c r="P30" s="66">
        <f t="shared" si="1"/>
        <v>4000</v>
      </c>
      <c r="Q30" s="66">
        <f t="shared" si="1"/>
        <v>4000</v>
      </c>
      <c r="R30" s="66">
        <f t="shared" si="1"/>
        <v>4000</v>
      </c>
      <c r="S30" s="66">
        <f t="shared" si="1"/>
        <v>4000</v>
      </c>
      <c r="T30" s="71">
        <f t="shared" si="1"/>
        <v>4000</v>
      </c>
    </row>
    <row r="31" spans="1:28" s="18" customFormat="1" ht="15.5" x14ac:dyDescent="0.35">
      <c r="A31" s="1"/>
      <c r="B31" s="53" t="s">
        <v>120</v>
      </c>
      <c r="C31" s="54"/>
      <c r="D31" s="54"/>
      <c r="E31" s="54"/>
      <c r="F31" s="197">
        <f>SUM(I31:T31)</f>
        <v>35125.640549999996</v>
      </c>
      <c r="G31" s="198"/>
      <c r="H31" s="199"/>
      <c r="I31" s="66">
        <f>N121</f>
        <v>35125.640549999996</v>
      </c>
      <c r="J31" s="66">
        <f t="shared" ref="J31:T31" si="2">O121</f>
        <v>0</v>
      </c>
      <c r="K31" s="66">
        <f t="shared" si="2"/>
        <v>0</v>
      </c>
      <c r="L31" s="66">
        <f t="shared" si="2"/>
        <v>0</v>
      </c>
      <c r="M31" s="66">
        <f t="shared" si="2"/>
        <v>0</v>
      </c>
      <c r="N31" s="66">
        <f t="shared" si="2"/>
        <v>0</v>
      </c>
      <c r="O31" s="66">
        <f t="shared" si="2"/>
        <v>0</v>
      </c>
      <c r="P31" s="66">
        <f t="shared" si="2"/>
        <v>0</v>
      </c>
      <c r="Q31" s="66">
        <f t="shared" si="2"/>
        <v>0</v>
      </c>
      <c r="R31" s="66">
        <f t="shared" si="2"/>
        <v>0</v>
      </c>
      <c r="S31" s="66">
        <f t="shared" si="2"/>
        <v>0</v>
      </c>
      <c r="T31" s="71">
        <f t="shared" si="2"/>
        <v>0</v>
      </c>
    </row>
    <row r="32" spans="1:28" s="18" customFormat="1" ht="16" thickBot="1" x14ac:dyDescent="0.4">
      <c r="A32" s="1"/>
      <c r="B32" s="56" t="s">
        <v>119</v>
      </c>
      <c r="C32" s="57"/>
      <c r="D32" s="57"/>
      <c r="E32" s="57"/>
      <c r="F32" s="200">
        <f>F31/F28</f>
        <v>2.9271367124999996E-2</v>
      </c>
      <c r="G32" s="201"/>
      <c r="H32" s="202"/>
      <c r="I32" s="64">
        <f>I31/I28</f>
        <v>0.35125640549999998</v>
      </c>
      <c r="J32" s="64">
        <f t="shared" ref="J32:T32" si="3">J31/J28</f>
        <v>0</v>
      </c>
      <c r="K32" s="64">
        <f t="shared" si="3"/>
        <v>0</v>
      </c>
      <c r="L32" s="64">
        <f t="shared" si="3"/>
        <v>0</v>
      </c>
      <c r="M32" s="64">
        <f t="shared" si="3"/>
        <v>0</v>
      </c>
      <c r="N32" s="64">
        <f t="shared" si="3"/>
        <v>0</v>
      </c>
      <c r="O32" s="64">
        <f t="shared" si="3"/>
        <v>0</v>
      </c>
      <c r="P32" s="64">
        <f t="shared" si="3"/>
        <v>0</v>
      </c>
      <c r="Q32" s="64">
        <f t="shared" si="3"/>
        <v>0</v>
      </c>
      <c r="R32" s="64">
        <f t="shared" si="3"/>
        <v>0</v>
      </c>
      <c r="S32" s="64">
        <f t="shared" si="3"/>
        <v>0</v>
      </c>
      <c r="T32" s="72">
        <f t="shared" si="3"/>
        <v>0</v>
      </c>
    </row>
    <row r="33" spans="1:26" s="18" customFormat="1" ht="12.75" customHeight="1" x14ac:dyDescent="0.35">
      <c r="A33" s="1"/>
      <c r="F33" s="19"/>
      <c r="G33" s="20"/>
    </row>
    <row r="34" spans="1:26" s="18" customFormat="1" ht="19" thickBot="1" x14ac:dyDescent="0.5">
      <c r="A34" s="1"/>
      <c r="B34" s="29" t="str">
        <f>D23&amp;" "&amp;  D18 &amp; " " &amp; "Capital Plan"</f>
        <v>2025 Hotel Capital Plan</v>
      </c>
      <c r="C34" s="21"/>
      <c r="D34" s="21"/>
      <c r="E34" s="21"/>
      <c r="F34" s="22"/>
      <c r="G34" s="23"/>
      <c r="H34" s="21"/>
      <c r="I34" s="21"/>
      <c r="J34" s="21"/>
      <c r="K34" s="21"/>
      <c r="L34" s="21"/>
      <c r="M34" s="21"/>
      <c r="N34" s="21"/>
      <c r="O34" s="21"/>
      <c r="P34" s="21"/>
      <c r="Q34" s="21"/>
      <c r="R34" s="21"/>
      <c r="S34" s="21"/>
      <c r="T34" s="21"/>
      <c r="U34" s="21"/>
      <c r="V34" s="21"/>
      <c r="W34" s="21"/>
      <c r="X34" s="21"/>
      <c r="Y34" s="21"/>
    </row>
    <row r="35" spans="1:26" s="18" customFormat="1" ht="14.25" customHeight="1" thickBot="1" x14ac:dyDescent="0.4">
      <c r="A35" s="1"/>
      <c r="F35" s="19"/>
      <c r="G35" s="20"/>
    </row>
    <row r="36" spans="1:26" s="18" customFormat="1" ht="42" customHeight="1" x14ac:dyDescent="0.35">
      <c r="A36" s="1"/>
      <c r="B36" s="139" t="s">
        <v>25</v>
      </c>
      <c r="C36" s="192"/>
      <c r="D36" s="91" t="s">
        <v>26</v>
      </c>
      <c r="E36" s="92" t="s">
        <v>112</v>
      </c>
      <c r="F36" s="93" t="s">
        <v>27</v>
      </c>
      <c r="G36" s="94" t="s">
        <v>28</v>
      </c>
      <c r="H36" s="94" t="s">
        <v>29</v>
      </c>
      <c r="I36" s="94" t="s">
        <v>30</v>
      </c>
      <c r="J36" s="94" t="s">
        <v>31</v>
      </c>
      <c r="K36" s="94" t="s">
        <v>32</v>
      </c>
      <c r="L36" s="94" t="s">
        <v>33</v>
      </c>
      <c r="M36" s="94" t="s">
        <v>34</v>
      </c>
      <c r="N36" s="94" t="s">
        <v>10</v>
      </c>
      <c r="O36" s="94" t="s">
        <v>11</v>
      </c>
      <c r="P36" s="94" t="s">
        <v>12</v>
      </c>
      <c r="Q36" s="94" t="s">
        <v>13</v>
      </c>
      <c r="R36" s="94" t="s">
        <v>14</v>
      </c>
      <c r="S36" s="94" t="s">
        <v>15</v>
      </c>
      <c r="T36" s="94" t="s">
        <v>16</v>
      </c>
      <c r="U36" s="94" t="s">
        <v>17</v>
      </c>
      <c r="V36" s="94" t="s">
        <v>18</v>
      </c>
      <c r="W36" s="94" t="s">
        <v>19</v>
      </c>
      <c r="X36" s="94" t="s">
        <v>20</v>
      </c>
      <c r="Y36" s="95" t="s">
        <v>21</v>
      </c>
      <c r="Z36" s="24"/>
    </row>
    <row r="37" spans="1:26" s="18" customFormat="1" ht="15.5" x14ac:dyDescent="0.35">
      <c r="A37" s="1"/>
      <c r="B37" s="193" t="s">
        <v>35</v>
      </c>
      <c r="C37" s="137"/>
      <c r="D37" s="138"/>
      <c r="E37" s="6"/>
      <c r="F37" s="7"/>
      <c r="G37" s="8"/>
      <c r="H37" s="8">
        <f t="shared" ref="H37:Y37" si="4">SUM(H38:H49)</f>
        <v>1</v>
      </c>
      <c r="I37" s="8">
        <f t="shared" si="4"/>
        <v>12151</v>
      </c>
      <c r="J37" s="8">
        <f t="shared" si="4"/>
        <v>880.94749999999999</v>
      </c>
      <c r="K37" s="8">
        <f t="shared" si="4"/>
        <v>651.59737500000006</v>
      </c>
      <c r="L37" s="8">
        <f t="shared" si="4"/>
        <v>13683.544875</v>
      </c>
      <c r="M37" s="8">
        <f t="shared" si="4"/>
        <v>13683.544875</v>
      </c>
      <c r="N37" s="8">
        <f t="shared" si="4"/>
        <v>13683.544875</v>
      </c>
      <c r="O37" s="8">
        <f t="shared" si="4"/>
        <v>0</v>
      </c>
      <c r="P37" s="8">
        <f t="shared" si="4"/>
        <v>0</v>
      </c>
      <c r="Q37" s="8">
        <f t="shared" si="4"/>
        <v>0</v>
      </c>
      <c r="R37" s="8">
        <f t="shared" si="4"/>
        <v>0</v>
      </c>
      <c r="S37" s="8">
        <f t="shared" si="4"/>
        <v>0</v>
      </c>
      <c r="T37" s="8">
        <f t="shared" si="4"/>
        <v>0</v>
      </c>
      <c r="U37" s="8">
        <f t="shared" si="4"/>
        <v>0</v>
      </c>
      <c r="V37" s="8">
        <f t="shared" si="4"/>
        <v>0</v>
      </c>
      <c r="W37" s="8">
        <f t="shared" si="4"/>
        <v>0</v>
      </c>
      <c r="X37" s="8">
        <f t="shared" si="4"/>
        <v>0</v>
      </c>
      <c r="Y37" s="96">
        <f t="shared" si="4"/>
        <v>0</v>
      </c>
    </row>
    <row r="38" spans="1:26" s="18" customFormat="1" ht="14.25" customHeight="1" x14ac:dyDescent="0.35">
      <c r="A38" s="1"/>
      <c r="B38" s="97" t="s">
        <v>36</v>
      </c>
      <c r="C38" s="9" t="s">
        <v>101</v>
      </c>
      <c r="D38" s="9" t="s">
        <v>102</v>
      </c>
      <c r="E38" s="9" t="s">
        <v>108</v>
      </c>
      <c r="F38" s="10">
        <v>18</v>
      </c>
      <c r="G38" s="11">
        <v>675</v>
      </c>
      <c r="H38" s="11">
        <v>1</v>
      </c>
      <c r="I38" s="12">
        <f t="shared" ref="I38:I49" si="5">(F38*G38)+H38</f>
        <v>12151</v>
      </c>
      <c r="J38" s="12">
        <f t="shared" ref="J38:J49" si="6">I38*$D$20</f>
        <v>880.94749999999999</v>
      </c>
      <c r="K38" s="12">
        <f t="shared" ref="K38:K49" si="7">SUM(I38:J38)*5%</f>
        <v>651.59737500000006</v>
      </c>
      <c r="L38" s="12">
        <f t="shared" ref="L38:L49" si="8">SUM(I38:K38)</f>
        <v>13683.544875</v>
      </c>
      <c r="M38" s="12">
        <f t="shared" ref="M38:M49" si="9">SUM(N38, O38,P38,Q38,R38,S38,T38,U38,V38,W38,X38,Y38)</f>
        <v>13683.544875</v>
      </c>
      <c r="N38" s="59">
        <f>L38</f>
        <v>13683.544875</v>
      </c>
      <c r="O38" s="59"/>
      <c r="P38" s="59"/>
      <c r="Q38" s="59"/>
      <c r="R38" s="59"/>
      <c r="S38" s="59"/>
      <c r="T38" s="59"/>
      <c r="U38" s="59"/>
      <c r="V38" s="59"/>
      <c r="W38" s="59"/>
      <c r="X38" s="59"/>
      <c r="Y38" s="98"/>
    </row>
    <row r="39" spans="1:26" s="18" customFormat="1" ht="14.25" customHeight="1" x14ac:dyDescent="0.35">
      <c r="A39" s="1"/>
      <c r="B39" s="97" t="s">
        <v>37</v>
      </c>
      <c r="C39" s="9"/>
      <c r="D39" s="9"/>
      <c r="E39" s="9"/>
      <c r="F39" s="10"/>
      <c r="G39" s="11"/>
      <c r="H39" s="11"/>
      <c r="I39" s="12">
        <f t="shared" si="5"/>
        <v>0</v>
      </c>
      <c r="J39" s="12">
        <f t="shared" si="6"/>
        <v>0</v>
      </c>
      <c r="K39" s="12">
        <f t="shared" si="7"/>
        <v>0</v>
      </c>
      <c r="L39" s="12">
        <f t="shared" si="8"/>
        <v>0</v>
      </c>
      <c r="M39" s="12">
        <f t="shared" si="9"/>
        <v>0</v>
      </c>
      <c r="N39" s="59"/>
      <c r="O39" s="59"/>
      <c r="P39" s="59"/>
      <c r="Q39" s="59"/>
      <c r="R39" s="59"/>
      <c r="S39" s="59"/>
      <c r="T39" s="59"/>
      <c r="U39" s="59"/>
      <c r="V39" s="59"/>
      <c r="W39" s="59"/>
      <c r="X39" s="59"/>
      <c r="Y39" s="98"/>
    </row>
    <row r="40" spans="1:26" s="18" customFormat="1" ht="14.25" customHeight="1" x14ac:dyDescent="0.35">
      <c r="A40" s="1"/>
      <c r="B40" s="97" t="s">
        <v>38</v>
      </c>
      <c r="C40" s="9"/>
      <c r="D40" s="9"/>
      <c r="E40" s="9"/>
      <c r="F40" s="10"/>
      <c r="G40" s="11"/>
      <c r="H40" s="11"/>
      <c r="I40" s="12">
        <f t="shared" si="5"/>
        <v>0</v>
      </c>
      <c r="J40" s="12">
        <f t="shared" si="6"/>
        <v>0</v>
      </c>
      <c r="K40" s="12">
        <f t="shared" si="7"/>
        <v>0</v>
      </c>
      <c r="L40" s="12">
        <f t="shared" si="8"/>
        <v>0</v>
      </c>
      <c r="M40" s="12">
        <f t="shared" si="9"/>
        <v>0</v>
      </c>
      <c r="N40" s="59"/>
      <c r="O40" s="59"/>
      <c r="P40" s="59"/>
      <c r="Q40" s="59"/>
      <c r="R40" s="59"/>
      <c r="S40" s="59"/>
      <c r="T40" s="59"/>
      <c r="U40" s="59"/>
      <c r="V40" s="59"/>
      <c r="W40" s="59"/>
      <c r="X40" s="59"/>
      <c r="Y40" s="98"/>
    </row>
    <row r="41" spans="1:26" s="18" customFormat="1" ht="14.25" customHeight="1" x14ac:dyDescent="0.35">
      <c r="A41" s="1"/>
      <c r="B41" s="97" t="s">
        <v>39</v>
      </c>
      <c r="C41" s="9" t="s">
        <v>136</v>
      </c>
      <c r="D41" s="9" t="s">
        <v>137</v>
      </c>
      <c r="E41" s="9"/>
      <c r="F41" s="10"/>
      <c r="G41" s="11"/>
      <c r="H41" s="11"/>
      <c r="I41" s="12">
        <f t="shared" si="5"/>
        <v>0</v>
      </c>
      <c r="J41" s="12">
        <f t="shared" si="6"/>
        <v>0</v>
      </c>
      <c r="K41" s="12">
        <f t="shared" si="7"/>
        <v>0</v>
      </c>
      <c r="L41" s="12">
        <f t="shared" si="8"/>
        <v>0</v>
      </c>
      <c r="M41" s="12">
        <f t="shared" si="9"/>
        <v>0</v>
      </c>
      <c r="N41" s="59"/>
      <c r="O41" s="59"/>
      <c r="P41" s="59"/>
      <c r="Q41" s="59"/>
      <c r="R41" s="59"/>
      <c r="S41" s="59"/>
      <c r="T41" s="59"/>
      <c r="U41" s="59"/>
      <c r="V41" s="59"/>
      <c r="W41" s="59"/>
      <c r="X41" s="59"/>
      <c r="Y41" s="98"/>
    </row>
    <row r="42" spans="1:26" s="18" customFormat="1" ht="14.25" customHeight="1" x14ac:dyDescent="0.35">
      <c r="A42" s="1"/>
      <c r="B42" s="97" t="s">
        <v>40</v>
      </c>
      <c r="C42" s="9"/>
      <c r="D42" s="9"/>
      <c r="E42" s="9"/>
      <c r="F42" s="10"/>
      <c r="G42" s="11"/>
      <c r="H42" s="11"/>
      <c r="I42" s="12">
        <f t="shared" si="5"/>
        <v>0</v>
      </c>
      <c r="J42" s="12">
        <f t="shared" si="6"/>
        <v>0</v>
      </c>
      <c r="K42" s="12">
        <f t="shared" si="7"/>
        <v>0</v>
      </c>
      <c r="L42" s="12">
        <f t="shared" si="8"/>
        <v>0</v>
      </c>
      <c r="M42" s="12">
        <f t="shared" si="9"/>
        <v>0</v>
      </c>
      <c r="N42" s="59"/>
      <c r="O42" s="59"/>
      <c r="P42" s="59"/>
      <c r="Q42" s="59"/>
      <c r="R42" s="59"/>
      <c r="S42" s="59"/>
      <c r="T42" s="59"/>
      <c r="U42" s="59"/>
      <c r="V42" s="59"/>
      <c r="W42" s="59"/>
      <c r="X42" s="59"/>
      <c r="Y42" s="98"/>
    </row>
    <row r="43" spans="1:26" s="18" customFormat="1" ht="14.25" customHeight="1" x14ac:dyDescent="0.35">
      <c r="A43" s="1"/>
      <c r="B43" s="97" t="s">
        <v>41</v>
      </c>
      <c r="C43" s="9"/>
      <c r="D43" s="9"/>
      <c r="E43" s="9"/>
      <c r="F43" s="10"/>
      <c r="G43" s="11"/>
      <c r="H43" s="11"/>
      <c r="I43" s="12">
        <f t="shared" si="5"/>
        <v>0</v>
      </c>
      <c r="J43" s="12">
        <f t="shared" si="6"/>
        <v>0</v>
      </c>
      <c r="K43" s="12">
        <f t="shared" si="7"/>
        <v>0</v>
      </c>
      <c r="L43" s="12">
        <f t="shared" si="8"/>
        <v>0</v>
      </c>
      <c r="M43" s="12">
        <f t="shared" si="9"/>
        <v>0</v>
      </c>
      <c r="N43" s="59"/>
      <c r="O43" s="59"/>
      <c r="P43" s="59"/>
      <c r="Q43" s="59"/>
      <c r="R43" s="59"/>
      <c r="S43" s="59"/>
      <c r="T43" s="59"/>
      <c r="U43" s="59"/>
      <c r="V43" s="59"/>
      <c r="W43" s="59"/>
      <c r="X43" s="59"/>
      <c r="Y43" s="98"/>
    </row>
    <row r="44" spans="1:26" s="18" customFormat="1" ht="14.25" customHeight="1" x14ac:dyDescent="0.35">
      <c r="A44" s="1"/>
      <c r="B44" s="97" t="s">
        <v>42</v>
      </c>
      <c r="C44" s="9"/>
      <c r="D44" s="9"/>
      <c r="E44" s="9"/>
      <c r="F44" s="10"/>
      <c r="G44" s="11"/>
      <c r="H44" s="11"/>
      <c r="I44" s="12">
        <f t="shared" ref="I44:I45" si="10">(F44*G44)+H44</f>
        <v>0</v>
      </c>
      <c r="J44" s="12">
        <f t="shared" ref="J44:J45" si="11">I44*$D$20</f>
        <v>0</v>
      </c>
      <c r="K44" s="12">
        <f t="shared" ref="K44:K45" si="12">SUM(I44:J44)*5%</f>
        <v>0</v>
      </c>
      <c r="L44" s="12">
        <f t="shared" ref="L44:L45" si="13">SUM(I44:K44)</f>
        <v>0</v>
      </c>
      <c r="M44" s="12">
        <f t="shared" ref="M44:M45" si="14">SUM(N44, O44,P44,Q44,R44,S44,T44,U44,V44,W44,X44,Y44)</f>
        <v>0</v>
      </c>
      <c r="N44" s="59"/>
      <c r="O44" s="59"/>
      <c r="P44" s="59"/>
      <c r="Q44" s="59"/>
      <c r="R44" s="59"/>
      <c r="S44" s="59"/>
      <c r="T44" s="59"/>
      <c r="U44" s="59"/>
      <c r="V44" s="59"/>
      <c r="W44" s="59"/>
      <c r="X44" s="59"/>
      <c r="Y44" s="98"/>
    </row>
    <row r="45" spans="1:26" s="18" customFormat="1" ht="14.25" customHeight="1" x14ac:dyDescent="0.35">
      <c r="A45" s="1"/>
      <c r="B45" s="97" t="s">
        <v>43</v>
      </c>
      <c r="C45" s="9"/>
      <c r="D45" s="9"/>
      <c r="E45" s="9"/>
      <c r="F45" s="10"/>
      <c r="G45" s="11"/>
      <c r="H45" s="11"/>
      <c r="I45" s="12">
        <f t="shared" si="10"/>
        <v>0</v>
      </c>
      <c r="J45" s="12">
        <f t="shared" si="11"/>
        <v>0</v>
      </c>
      <c r="K45" s="12">
        <f t="shared" si="12"/>
        <v>0</v>
      </c>
      <c r="L45" s="12">
        <f t="shared" si="13"/>
        <v>0</v>
      </c>
      <c r="M45" s="12">
        <f t="shared" si="14"/>
        <v>0</v>
      </c>
      <c r="N45" s="59"/>
      <c r="O45" s="59"/>
      <c r="P45" s="59"/>
      <c r="Q45" s="59"/>
      <c r="R45" s="59"/>
      <c r="S45" s="59"/>
      <c r="T45" s="59"/>
      <c r="U45" s="59"/>
      <c r="V45" s="59"/>
      <c r="W45" s="59"/>
      <c r="X45" s="59"/>
      <c r="Y45" s="98"/>
    </row>
    <row r="46" spans="1:26" s="18" customFormat="1" ht="14.25" customHeight="1" x14ac:dyDescent="0.35">
      <c r="A46" s="1"/>
      <c r="B46" s="97" t="s">
        <v>44</v>
      </c>
      <c r="C46" s="9"/>
      <c r="D46" s="9"/>
      <c r="E46" s="9"/>
      <c r="F46" s="10"/>
      <c r="G46" s="11"/>
      <c r="H46" s="11"/>
      <c r="I46" s="12">
        <f t="shared" si="5"/>
        <v>0</v>
      </c>
      <c r="J46" s="12">
        <f t="shared" si="6"/>
        <v>0</v>
      </c>
      <c r="K46" s="12">
        <f t="shared" si="7"/>
        <v>0</v>
      </c>
      <c r="L46" s="12">
        <f t="shared" si="8"/>
        <v>0</v>
      </c>
      <c r="M46" s="12">
        <f t="shared" si="9"/>
        <v>0</v>
      </c>
      <c r="N46" s="59"/>
      <c r="O46" s="59"/>
      <c r="P46" s="59"/>
      <c r="Q46" s="59"/>
      <c r="R46" s="59"/>
      <c r="S46" s="59"/>
      <c r="T46" s="59"/>
      <c r="U46" s="59"/>
      <c r="V46" s="59"/>
      <c r="W46" s="59"/>
      <c r="X46" s="59"/>
      <c r="Y46" s="98"/>
    </row>
    <row r="47" spans="1:26" s="18" customFormat="1" ht="14.25" customHeight="1" x14ac:dyDescent="0.35">
      <c r="A47" s="1"/>
      <c r="B47" s="97" t="s">
        <v>45</v>
      </c>
      <c r="C47" s="9"/>
      <c r="D47" s="9"/>
      <c r="E47" s="9"/>
      <c r="F47" s="10"/>
      <c r="G47" s="11"/>
      <c r="H47" s="11"/>
      <c r="I47" s="12">
        <f t="shared" si="5"/>
        <v>0</v>
      </c>
      <c r="J47" s="12">
        <f t="shared" si="6"/>
        <v>0</v>
      </c>
      <c r="K47" s="12">
        <f t="shared" si="7"/>
        <v>0</v>
      </c>
      <c r="L47" s="12">
        <f t="shared" si="8"/>
        <v>0</v>
      </c>
      <c r="M47" s="12">
        <f t="shared" si="9"/>
        <v>0</v>
      </c>
      <c r="N47" s="59"/>
      <c r="O47" s="59"/>
      <c r="P47" s="59"/>
      <c r="Q47" s="59"/>
      <c r="R47" s="59"/>
      <c r="S47" s="59"/>
      <c r="T47" s="59"/>
      <c r="U47" s="59"/>
      <c r="V47" s="59"/>
      <c r="W47" s="59"/>
      <c r="X47" s="59"/>
      <c r="Y47" s="98"/>
    </row>
    <row r="48" spans="1:26" s="18" customFormat="1" ht="14.25" customHeight="1" x14ac:dyDescent="0.35">
      <c r="A48" s="1"/>
      <c r="B48" s="97" t="s">
        <v>122</v>
      </c>
      <c r="C48" s="9"/>
      <c r="D48" s="9"/>
      <c r="E48" s="9"/>
      <c r="F48" s="10"/>
      <c r="G48" s="11"/>
      <c r="H48" s="11"/>
      <c r="I48" s="12">
        <f t="shared" si="5"/>
        <v>0</v>
      </c>
      <c r="J48" s="12">
        <f t="shared" si="6"/>
        <v>0</v>
      </c>
      <c r="K48" s="12">
        <f t="shared" si="7"/>
        <v>0</v>
      </c>
      <c r="L48" s="12">
        <f t="shared" si="8"/>
        <v>0</v>
      </c>
      <c r="M48" s="12">
        <f t="shared" si="9"/>
        <v>0</v>
      </c>
      <c r="N48" s="59"/>
      <c r="O48" s="59"/>
      <c r="P48" s="59"/>
      <c r="Q48" s="59"/>
      <c r="R48" s="59"/>
      <c r="S48" s="59"/>
      <c r="T48" s="59"/>
      <c r="U48" s="59"/>
      <c r="V48" s="59"/>
      <c r="W48" s="59"/>
      <c r="X48" s="59"/>
      <c r="Y48" s="98"/>
    </row>
    <row r="49" spans="1:25" s="18" customFormat="1" ht="14.25" customHeight="1" x14ac:dyDescent="0.35">
      <c r="A49" s="1"/>
      <c r="B49" s="97" t="s">
        <v>123</v>
      </c>
      <c r="C49" s="9"/>
      <c r="D49" s="9"/>
      <c r="E49" s="9"/>
      <c r="F49" s="10"/>
      <c r="G49" s="11"/>
      <c r="H49" s="11"/>
      <c r="I49" s="12">
        <f t="shared" si="5"/>
        <v>0</v>
      </c>
      <c r="J49" s="12">
        <f t="shared" si="6"/>
        <v>0</v>
      </c>
      <c r="K49" s="12">
        <f t="shared" si="7"/>
        <v>0</v>
      </c>
      <c r="L49" s="12">
        <f t="shared" si="8"/>
        <v>0</v>
      </c>
      <c r="M49" s="12">
        <f t="shared" si="9"/>
        <v>0</v>
      </c>
      <c r="N49" s="59"/>
      <c r="O49" s="59"/>
      <c r="P49" s="59"/>
      <c r="Q49" s="59"/>
      <c r="R49" s="59"/>
      <c r="S49" s="59"/>
      <c r="T49" s="59"/>
      <c r="U49" s="59"/>
      <c r="V49" s="59"/>
      <c r="W49" s="59"/>
      <c r="X49" s="59"/>
      <c r="Y49" s="98"/>
    </row>
    <row r="50" spans="1:25" s="18" customFormat="1" ht="15.5" x14ac:dyDescent="0.35">
      <c r="A50" s="1"/>
      <c r="B50" s="193" t="s">
        <v>46</v>
      </c>
      <c r="C50" s="137"/>
      <c r="D50" s="138"/>
      <c r="E50" s="6"/>
      <c r="F50" s="7"/>
      <c r="G50" s="8"/>
      <c r="H50" s="8">
        <f t="shared" ref="H50:Y50" si="15">SUM(H51:H62)</f>
        <v>1</v>
      </c>
      <c r="I50" s="8">
        <f t="shared" si="15"/>
        <v>6401</v>
      </c>
      <c r="J50" s="8">
        <f t="shared" si="15"/>
        <v>464.07249999999999</v>
      </c>
      <c r="K50" s="8">
        <f t="shared" si="15"/>
        <v>343.25362500000006</v>
      </c>
      <c r="L50" s="8">
        <f t="shared" si="15"/>
        <v>7208.3261250000005</v>
      </c>
      <c r="M50" s="8">
        <f t="shared" si="15"/>
        <v>7208.3261250000005</v>
      </c>
      <c r="N50" s="8">
        <f t="shared" si="15"/>
        <v>7208.3261250000005</v>
      </c>
      <c r="O50" s="8">
        <f t="shared" si="15"/>
        <v>0</v>
      </c>
      <c r="P50" s="8">
        <f t="shared" si="15"/>
        <v>0</v>
      </c>
      <c r="Q50" s="8">
        <f t="shared" si="15"/>
        <v>0</v>
      </c>
      <c r="R50" s="8">
        <f t="shared" si="15"/>
        <v>0</v>
      </c>
      <c r="S50" s="8">
        <f t="shared" si="15"/>
        <v>0</v>
      </c>
      <c r="T50" s="8">
        <f t="shared" si="15"/>
        <v>0</v>
      </c>
      <c r="U50" s="8">
        <f t="shared" si="15"/>
        <v>0</v>
      </c>
      <c r="V50" s="8">
        <f t="shared" si="15"/>
        <v>0</v>
      </c>
      <c r="W50" s="8">
        <f t="shared" si="15"/>
        <v>0</v>
      </c>
      <c r="X50" s="8">
        <f t="shared" si="15"/>
        <v>0</v>
      </c>
      <c r="Y50" s="96">
        <f t="shared" si="15"/>
        <v>0</v>
      </c>
    </row>
    <row r="51" spans="1:25" s="60" customFormat="1" ht="14.25" customHeight="1" x14ac:dyDescent="0.35">
      <c r="A51" s="1"/>
      <c r="B51" s="97" t="s">
        <v>47</v>
      </c>
      <c r="C51" s="9" t="s">
        <v>101</v>
      </c>
      <c r="D51" s="9" t="s">
        <v>102</v>
      </c>
      <c r="E51" s="9" t="s">
        <v>107</v>
      </c>
      <c r="F51" s="10">
        <v>4</v>
      </c>
      <c r="G51" s="11">
        <v>1600</v>
      </c>
      <c r="H51" s="11">
        <v>1</v>
      </c>
      <c r="I51" s="12">
        <f t="shared" ref="I51:I62" si="16">(F51*G51)+H51</f>
        <v>6401</v>
      </c>
      <c r="J51" s="12">
        <f t="shared" ref="J51:J62" si="17">I51*$D$20</f>
        <v>464.07249999999999</v>
      </c>
      <c r="K51" s="12">
        <f t="shared" ref="K51:K62" si="18">SUM(I51:J51)*5%</f>
        <v>343.25362500000006</v>
      </c>
      <c r="L51" s="12">
        <f t="shared" ref="L51:L62" si="19">SUM(I51:K51)</f>
        <v>7208.3261250000005</v>
      </c>
      <c r="M51" s="12">
        <f t="shared" ref="M51:M62" si="20">SUM(N51, O51,P51,Q51,R51,S51,T51,U51,V51,W51,X51,Y51)</f>
        <v>7208.3261250000005</v>
      </c>
      <c r="N51" s="59">
        <f>L51</f>
        <v>7208.3261250000005</v>
      </c>
      <c r="O51" s="59"/>
      <c r="P51" s="59"/>
      <c r="Q51" s="59"/>
      <c r="R51" s="59"/>
      <c r="S51" s="59"/>
      <c r="T51" s="59"/>
      <c r="U51" s="59"/>
      <c r="V51" s="59"/>
      <c r="W51" s="59"/>
      <c r="X51" s="59"/>
      <c r="Y51" s="98"/>
    </row>
    <row r="52" spans="1:25" s="60" customFormat="1" ht="14.25" customHeight="1" x14ac:dyDescent="0.35">
      <c r="A52" s="1"/>
      <c r="B52" s="97" t="s">
        <v>48</v>
      </c>
      <c r="C52" s="9"/>
      <c r="D52" s="9"/>
      <c r="E52" s="9"/>
      <c r="F52" s="10"/>
      <c r="G52" s="11"/>
      <c r="H52" s="11"/>
      <c r="I52" s="12">
        <f t="shared" si="16"/>
        <v>0</v>
      </c>
      <c r="J52" s="12">
        <f t="shared" si="17"/>
        <v>0</v>
      </c>
      <c r="K52" s="12">
        <f t="shared" si="18"/>
        <v>0</v>
      </c>
      <c r="L52" s="12">
        <f t="shared" si="19"/>
        <v>0</v>
      </c>
      <c r="M52" s="12">
        <f t="shared" si="20"/>
        <v>0</v>
      </c>
      <c r="N52" s="59"/>
      <c r="O52" s="59"/>
      <c r="P52" s="59"/>
      <c r="Q52" s="59"/>
      <c r="R52" s="59"/>
      <c r="S52" s="59"/>
      <c r="T52" s="59"/>
      <c r="U52" s="59"/>
      <c r="V52" s="59"/>
      <c r="W52" s="59"/>
      <c r="X52" s="59"/>
      <c r="Y52" s="98"/>
    </row>
    <row r="53" spans="1:25" s="60" customFormat="1" ht="14.25" customHeight="1" x14ac:dyDescent="0.35">
      <c r="A53" s="1"/>
      <c r="B53" s="97" t="s">
        <v>49</v>
      </c>
      <c r="C53" s="9"/>
      <c r="D53" s="9"/>
      <c r="E53" s="9"/>
      <c r="F53" s="10"/>
      <c r="G53" s="11"/>
      <c r="H53" s="11"/>
      <c r="I53" s="12">
        <f t="shared" si="16"/>
        <v>0</v>
      </c>
      <c r="J53" s="12">
        <f t="shared" si="17"/>
        <v>0</v>
      </c>
      <c r="K53" s="12">
        <f t="shared" si="18"/>
        <v>0</v>
      </c>
      <c r="L53" s="12">
        <f t="shared" si="19"/>
        <v>0</v>
      </c>
      <c r="M53" s="12">
        <f t="shared" si="20"/>
        <v>0</v>
      </c>
      <c r="N53" s="59"/>
      <c r="O53" s="59"/>
      <c r="P53" s="59"/>
      <c r="Q53" s="59"/>
      <c r="R53" s="59"/>
      <c r="S53" s="59"/>
      <c r="T53" s="59"/>
      <c r="U53" s="59"/>
      <c r="V53" s="59"/>
      <c r="W53" s="59"/>
      <c r="X53" s="59"/>
      <c r="Y53" s="98"/>
    </row>
    <row r="54" spans="1:25" s="60" customFormat="1" ht="14.25" customHeight="1" x14ac:dyDescent="0.35">
      <c r="A54" s="1"/>
      <c r="B54" s="97" t="s">
        <v>50</v>
      </c>
      <c r="C54" s="9"/>
      <c r="D54" s="9"/>
      <c r="E54" s="9"/>
      <c r="F54" s="10"/>
      <c r="G54" s="11"/>
      <c r="H54" s="11"/>
      <c r="I54" s="12">
        <f t="shared" si="16"/>
        <v>0</v>
      </c>
      <c r="J54" s="12">
        <f t="shared" si="17"/>
        <v>0</v>
      </c>
      <c r="K54" s="12">
        <f t="shared" si="18"/>
        <v>0</v>
      </c>
      <c r="L54" s="12">
        <f t="shared" si="19"/>
        <v>0</v>
      </c>
      <c r="M54" s="12">
        <f t="shared" si="20"/>
        <v>0</v>
      </c>
      <c r="N54" s="59"/>
      <c r="O54" s="59"/>
      <c r="P54" s="59"/>
      <c r="Q54" s="59"/>
      <c r="R54" s="59"/>
      <c r="S54" s="59"/>
      <c r="T54" s="59"/>
      <c r="U54" s="59"/>
      <c r="V54" s="59"/>
      <c r="W54" s="59"/>
      <c r="X54" s="59"/>
      <c r="Y54" s="98"/>
    </row>
    <row r="55" spans="1:25" s="60" customFormat="1" ht="14.25" customHeight="1" x14ac:dyDescent="0.35">
      <c r="A55" s="1"/>
      <c r="B55" s="97" t="s">
        <v>51</v>
      </c>
      <c r="C55" s="9"/>
      <c r="D55" s="9"/>
      <c r="E55" s="9"/>
      <c r="F55" s="10"/>
      <c r="G55" s="11"/>
      <c r="H55" s="11"/>
      <c r="I55" s="12">
        <f t="shared" si="16"/>
        <v>0</v>
      </c>
      <c r="J55" s="12">
        <f t="shared" si="17"/>
        <v>0</v>
      </c>
      <c r="K55" s="12">
        <f t="shared" si="18"/>
        <v>0</v>
      </c>
      <c r="L55" s="12">
        <f t="shared" si="19"/>
        <v>0</v>
      </c>
      <c r="M55" s="12">
        <f t="shared" si="20"/>
        <v>0</v>
      </c>
      <c r="N55" s="59"/>
      <c r="O55" s="59"/>
      <c r="P55" s="59"/>
      <c r="Q55" s="59"/>
      <c r="R55" s="59"/>
      <c r="S55" s="59"/>
      <c r="T55" s="59"/>
      <c r="U55" s="59"/>
      <c r="V55" s="59"/>
      <c r="W55" s="59"/>
      <c r="X55" s="59"/>
      <c r="Y55" s="98"/>
    </row>
    <row r="56" spans="1:25" s="60" customFormat="1" ht="14.25" customHeight="1" x14ac:dyDescent="0.35">
      <c r="A56" s="1"/>
      <c r="B56" s="97" t="s">
        <v>52</v>
      </c>
      <c r="C56" s="9"/>
      <c r="D56" s="9"/>
      <c r="E56" s="9"/>
      <c r="F56" s="10"/>
      <c r="G56" s="11"/>
      <c r="H56" s="11"/>
      <c r="I56" s="12">
        <f t="shared" si="16"/>
        <v>0</v>
      </c>
      <c r="J56" s="12">
        <f t="shared" si="17"/>
        <v>0</v>
      </c>
      <c r="K56" s="12">
        <f t="shared" si="18"/>
        <v>0</v>
      </c>
      <c r="L56" s="12">
        <f t="shared" si="19"/>
        <v>0</v>
      </c>
      <c r="M56" s="12">
        <f t="shared" si="20"/>
        <v>0</v>
      </c>
      <c r="N56" s="59"/>
      <c r="O56" s="59"/>
      <c r="P56" s="59"/>
      <c r="Q56" s="59"/>
      <c r="R56" s="59"/>
      <c r="S56" s="59"/>
      <c r="T56" s="59"/>
      <c r="U56" s="59"/>
      <c r="V56" s="59"/>
      <c r="W56" s="59"/>
      <c r="X56" s="59"/>
      <c r="Y56" s="98"/>
    </row>
    <row r="57" spans="1:25" s="60" customFormat="1" ht="14.25" customHeight="1" x14ac:dyDescent="0.35">
      <c r="A57" s="1"/>
      <c r="B57" s="97" t="s">
        <v>53</v>
      </c>
      <c r="C57" s="9"/>
      <c r="D57" s="9"/>
      <c r="E57" s="9"/>
      <c r="F57" s="10"/>
      <c r="G57" s="11"/>
      <c r="H57" s="11"/>
      <c r="I57" s="12">
        <f t="shared" si="16"/>
        <v>0</v>
      </c>
      <c r="J57" s="12">
        <f t="shared" si="17"/>
        <v>0</v>
      </c>
      <c r="K57" s="12">
        <f t="shared" si="18"/>
        <v>0</v>
      </c>
      <c r="L57" s="12">
        <f t="shared" si="19"/>
        <v>0</v>
      </c>
      <c r="M57" s="12">
        <f t="shared" si="20"/>
        <v>0</v>
      </c>
      <c r="N57" s="59"/>
      <c r="O57" s="59"/>
      <c r="P57" s="59"/>
      <c r="Q57" s="59"/>
      <c r="R57" s="59"/>
      <c r="S57" s="59"/>
      <c r="T57" s="59"/>
      <c r="U57" s="59"/>
      <c r="V57" s="59"/>
      <c r="W57" s="59"/>
      <c r="X57" s="59"/>
      <c r="Y57" s="98"/>
    </row>
    <row r="58" spans="1:25" s="60" customFormat="1" ht="14.25" customHeight="1" x14ac:dyDescent="0.35">
      <c r="A58" s="1"/>
      <c r="B58" s="97" t="s">
        <v>54</v>
      </c>
      <c r="C58" s="9"/>
      <c r="D58" s="9"/>
      <c r="E58" s="9"/>
      <c r="F58" s="10"/>
      <c r="G58" s="11"/>
      <c r="H58" s="11"/>
      <c r="I58" s="12">
        <f t="shared" ref="I58:I59" si="21">(F58*G58)+H58</f>
        <v>0</v>
      </c>
      <c r="J58" s="12">
        <f t="shared" ref="J58:J59" si="22">I58*$D$20</f>
        <v>0</v>
      </c>
      <c r="K58" s="12">
        <f t="shared" ref="K58:K59" si="23">SUM(I58:J58)*5%</f>
        <v>0</v>
      </c>
      <c r="L58" s="12">
        <f t="shared" ref="L58:L59" si="24">SUM(I58:K58)</f>
        <v>0</v>
      </c>
      <c r="M58" s="12">
        <f t="shared" ref="M58:M59" si="25">SUM(N58, O58,P58,Q58,R58,S58,T58,U58,V58,W58,X58,Y58)</f>
        <v>0</v>
      </c>
      <c r="N58" s="59"/>
      <c r="O58" s="59"/>
      <c r="P58" s="59"/>
      <c r="Q58" s="59"/>
      <c r="R58" s="59"/>
      <c r="S58" s="59"/>
      <c r="T58" s="59"/>
      <c r="U58" s="59"/>
      <c r="V58" s="59"/>
      <c r="W58" s="59"/>
      <c r="X58" s="59"/>
      <c r="Y58" s="98"/>
    </row>
    <row r="59" spans="1:25" s="60" customFormat="1" ht="14.25" customHeight="1" x14ac:dyDescent="0.35">
      <c r="A59" s="1"/>
      <c r="B59" s="97" t="s">
        <v>55</v>
      </c>
      <c r="C59" s="9"/>
      <c r="D59" s="9"/>
      <c r="E59" s="9"/>
      <c r="F59" s="10"/>
      <c r="G59" s="11"/>
      <c r="H59" s="11"/>
      <c r="I59" s="12">
        <f t="shared" si="21"/>
        <v>0</v>
      </c>
      <c r="J59" s="12">
        <f t="shared" si="22"/>
        <v>0</v>
      </c>
      <c r="K59" s="12">
        <f t="shared" si="23"/>
        <v>0</v>
      </c>
      <c r="L59" s="12">
        <f t="shared" si="24"/>
        <v>0</v>
      </c>
      <c r="M59" s="12">
        <f t="shared" si="25"/>
        <v>0</v>
      </c>
      <c r="N59" s="59"/>
      <c r="O59" s="59"/>
      <c r="P59" s="59"/>
      <c r="Q59" s="59"/>
      <c r="R59" s="59"/>
      <c r="S59" s="59"/>
      <c r="T59" s="59"/>
      <c r="U59" s="59"/>
      <c r="V59" s="59"/>
      <c r="W59" s="59"/>
      <c r="X59" s="59"/>
      <c r="Y59" s="98"/>
    </row>
    <row r="60" spans="1:25" s="60" customFormat="1" ht="14.25" customHeight="1" x14ac:dyDescent="0.35">
      <c r="A60" s="1"/>
      <c r="B60" s="97" t="s">
        <v>56</v>
      </c>
      <c r="C60" s="9"/>
      <c r="D60" s="9"/>
      <c r="E60" s="9"/>
      <c r="F60" s="10"/>
      <c r="G60" s="11"/>
      <c r="H60" s="11"/>
      <c r="I60" s="12">
        <f t="shared" si="16"/>
        <v>0</v>
      </c>
      <c r="J60" s="12">
        <f t="shared" si="17"/>
        <v>0</v>
      </c>
      <c r="K60" s="12">
        <f t="shared" si="18"/>
        <v>0</v>
      </c>
      <c r="L60" s="12">
        <f t="shared" si="19"/>
        <v>0</v>
      </c>
      <c r="M60" s="12">
        <f t="shared" si="20"/>
        <v>0</v>
      </c>
      <c r="N60" s="59"/>
      <c r="O60" s="59"/>
      <c r="P60" s="59"/>
      <c r="Q60" s="59"/>
      <c r="R60" s="59"/>
      <c r="S60" s="59"/>
      <c r="T60" s="59"/>
      <c r="U60" s="59"/>
      <c r="V60" s="59"/>
      <c r="W60" s="59"/>
      <c r="X60" s="59"/>
      <c r="Y60" s="98"/>
    </row>
    <row r="61" spans="1:25" s="60" customFormat="1" ht="14.25" customHeight="1" x14ac:dyDescent="0.35">
      <c r="A61" s="1"/>
      <c r="B61" s="97" t="s">
        <v>124</v>
      </c>
      <c r="C61" s="9"/>
      <c r="D61" s="9"/>
      <c r="E61" s="9"/>
      <c r="F61" s="10"/>
      <c r="G61" s="11"/>
      <c r="H61" s="11"/>
      <c r="I61" s="12">
        <f t="shared" si="16"/>
        <v>0</v>
      </c>
      <c r="J61" s="12">
        <f t="shared" si="17"/>
        <v>0</v>
      </c>
      <c r="K61" s="12">
        <f t="shared" si="18"/>
        <v>0</v>
      </c>
      <c r="L61" s="12">
        <f t="shared" si="19"/>
        <v>0</v>
      </c>
      <c r="M61" s="12">
        <f t="shared" si="20"/>
        <v>0</v>
      </c>
      <c r="N61" s="59"/>
      <c r="O61" s="59"/>
      <c r="P61" s="59"/>
      <c r="Q61" s="59"/>
      <c r="R61" s="59"/>
      <c r="S61" s="59"/>
      <c r="T61" s="59"/>
      <c r="U61" s="59"/>
      <c r="V61" s="59"/>
      <c r="W61" s="59"/>
      <c r="X61" s="59"/>
      <c r="Y61" s="98"/>
    </row>
    <row r="62" spans="1:25" s="60" customFormat="1" ht="14.25" customHeight="1" x14ac:dyDescent="0.35">
      <c r="A62" s="1"/>
      <c r="B62" s="97" t="s">
        <v>125</v>
      </c>
      <c r="C62" s="9"/>
      <c r="D62" s="9"/>
      <c r="E62" s="9"/>
      <c r="F62" s="10"/>
      <c r="G62" s="11"/>
      <c r="H62" s="11"/>
      <c r="I62" s="12">
        <f t="shared" si="16"/>
        <v>0</v>
      </c>
      <c r="J62" s="12">
        <f t="shared" si="17"/>
        <v>0</v>
      </c>
      <c r="K62" s="12">
        <f t="shared" si="18"/>
        <v>0</v>
      </c>
      <c r="L62" s="12">
        <f t="shared" si="19"/>
        <v>0</v>
      </c>
      <c r="M62" s="12">
        <f t="shared" si="20"/>
        <v>0</v>
      </c>
      <c r="N62" s="59"/>
      <c r="O62" s="59"/>
      <c r="P62" s="59"/>
      <c r="Q62" s="59"/>
      <c r="R62" s="59"/>
      <c r="S62" s="59"/>
      <c r="T62" s="59"/>
      <c r="U62" s="59"/>
      <c r="V62" s="59"/>
      <c r="W62" s="59"/>
      <c r="X62" s="59"/>
      <c r="Y62" s="98"/>
    </row>
    <row r="63" spans="1:25" s="18" customFormat="1" ht="15.5" x14ac:dyDescent="0.35">
      <c r="A63" s="1"/>
      <c r="B63" s="193" t="s">
        <v>57</v>
      </c>
      <c r="C63" s="137"/>
      <c r="D63" s="138"/>
      <c r="E63" s="6"/>
      <c r="F63" s="7"/>
      <c r="G63" s="8"/>
      <c r="H63" s="8">
        <f t="shared" ref="H63:Y63" si="26">SUM(H64:H75)</f>
        <v>1</v>
      </c>
      <c r="I63" s="8">
        <f t="shared" si="26"/>
        <v>601</v>
      </c>
      <c r="J63" s="8">
        <f t="shared" si="26"/>
        <v>43.572499999999998</v>
      </c>
      <c r="K63" s="8">
        <f t="shared" si="26"/>
        <v>32.228625000000001</v>
      </c>
      <c r="L63" s="8">
        <f t="shared" si="26"/>
        <v>676.80112499999996</v>
      </c>
      <c r="M63" s="8">
        <f t="shared" si="26"/>
        <v>676.80112499999996</v>
      </c>
      <c r="N63" s="8">
        <f t="shared" si="26"/>
        <v>676.80112499999996</v>
      </c>
      <c r="O63" s="8">
        <f t="shared" si="26"/>
        <v>0</v>
      </c>
      <c r="P63" s="8">
        <f t="shared" si="26"/>
        <v>0</v>
      </c>
      <c r="Q63" s="8">
        <f t="shared" si="26"/>
        <v>0</v>
      </c>
      <c r="R63" s="8">
        <f t="shared" si="26"/>
        <v>0</v>
      </c>
      <c r="S63" s="8">
        <f t="shared" si="26"/>
        <v>0</v>
      </c>
      <c r="T63" s="8">
        <f t="shared" si="26"/>
        <v>0</v>
      </c>
      <c r="U63" s="8">
        <f t="shared" si="26"/>
        <v>0</v>
      </c>
      <c r="V63" s="8">
        <f t="shared" si="26"/>
        <v>0</v>
      </c>
      <c r="W63" s="8">
        <f t="shared" si="26"/>
        <v>0</v>
      </c>
      <c r="X63" s="8">
        <f t="shared" si="26"/>
        <v>0</v>
      </c>
      <c r="Y63" s="96">
        <f t="shared" si="26"/>
        <v>0</v>
      </c>
    </row>
    <row r="64" spans="1:25" s="60" customFormat="1" ht="14.25" customHeight="1" x14ac:dyDescent="0.35">
      <c r="A64" s="1"/>
      <c r="B64" s="97" t="s">
        <v>58</v>
      </c>
      <c r="C64" s="9" t="s">
        <v>101</v>
      </c>
      <c r="D64" s="9" t="s">
        <v>102</v>
      </c>
      <c r="E64" s="9" t="s">
        <v>110</v>
      </c>
      <c r="F64" s="10">
        <v>2</v>
      </c>
      <c r="G64" s="11">
        <v>300</v>
      </c>
      <c r="H64" s="11">
        <v>1</v>
      </c>
      <c r="I64" s="12">
        <f t="shared" ref="I64:I75" si="27">(F64*G64)+H64</f>
        <v>601</v>
      </c>
      <c r="J64" s="12">
        <f t="shared" ref="J64:J75" si="28">I64*$D$20</f>
        <v>43.572499999999998</v>
      </c>
      <c r="K64" s="12">
        <f t="shared" ref="K64:K75" si="29">SUM(I64:J64)*5%</f>
        <v>32.228625000000001</v>
      </c>
      <c r="L64" s="12">
        <f t="shared" ref="L64:L75" si="30">SUM(I64:K64)</f>
        <v>676.80112499999996</v>
      </c>
      <c r="M64" s="12">
        <f t="shared" ref="M64:M75" si="31">SUM(N64, O64,P64,Q64,R64,S64,T64,U64,V64,W64,X64,Y64)</f>
        <v>676.80112499999996</v>
      </c>
      <c r="N64" s="59">
        <f>L64</f>
        <v>676.80112499999996</v>
      </c>
      <c r="O64" s="59"/>
      <c r="P64" s="59"/>
      <c r="Q64" s="59"/>
      <c r="R64" s="59"/>
      <c r="S64" s="59"/>
      <c r="T64" s="59"/>
      <c r="U64" s="59"/>
      <c r="V64" s="59"/>
      <c r="W64" s="59"/>
      <c r="X64" s="59"/>
      <c r="Y64" s="98"/>
    </row>
    <row r="65" spans="1:25" s="60" customFormat="1" ht="14.25" customHeight="1" x14ac:dyDescent="0.35">
      <c r="A65" s="1"/>
      <c r="B65" s="97" t="s">
        <v>59</v>
      </c>
      <c r="C65" s="9"/>
      <c r="D65" s="9"/>
      <c r="E65" s="9"/>
      <c r="F65" s="10"/>
      <c r="G65" s="11"/>
      <c r="H65" s="11"/>
      <c r="I65" s="12">
        <f t="shared" si="27"/>
        <v>0</v>
      </c>
      <c r="J65" s="12">
        <f t="shared" si="28"/>
        <v>0</v>
      </c>
      <c r="K65" s="12">
        <f t="shared" si="29"/>
        <v>0</v>
      </c>
      <c r="L65" s="12">
        <f t="shared" si="30"/>
        <v>0</v>
      </c>
      <c r="M65" s="12">
        <f t="shared" si="31"/>
        <v>0</v>
      </c>
      <c r="N65" s="59"/>
      <c r="O65" s="59"/>
      <c r="P65" s="59"/>
      <c r="Q65" s="59"/>
      <c r="R65" s="59"/>
      <c r="S65" s="59"/>
      <c r="T65" s="59"/>
      <c r="U65" s="59"/>
      <c r="V65" s="59"/>
      <c r="W65" s="59"/>
      <c r="X65" s="59"/>
      <c r="Y65" s="98"/>
    </row>
    <row r="66" spans="1:25" s="60" customFormat="1" ht="14.25" customHeight="1" x14ac:dyDescent="0.35">
      <c r="A66" s="1"/>
      <c r="B66" s="97" t="s">
        <v>60</v>
      </c>
      <c r="C66" s="9"/>
      <c r="D66" s="9"/>
      <c r="E66" s="9"/>
      <c r="F66" s="10"/>
      <c r="G66" s="11"/>
      <c r="H66" s="11"/>
      <c r="I66" s="12">
        <f t="shared" si="27"/>
        <v>0</v>
      </c>
      <c r="J66" s="12">
        <f t="shared" si="28"/>
        <v>0</v>
      </c>
      <c r="K66" s="12">
        <f t="shared" si="29"/>
        <v>0</v>
      </c>
      <c r="L66" s="12">
        <f t="shared" si="30"/>
        <v>0</v>
      </c>
      <c r="M66" s="12">
        <f t="shared" si="31"/>
        <v>0</v>
      </c>
      <c r="N66" s="59"/>
      <c r="O66" s="59"/>
      <c r="P66" s="59"/>
      <c r="Q66" s="59"/>
      <c r="R66" s="59"/>
      <c r="S66" s="59"/>
      <c r="T66" s="59"/>
      <c r="U66" s="59"/>
      <c r="V66" s="59"/>
      <c r="W66" s="59"/>
      <c r="X66" s="59"/>
      <c r="Y66" s="98"/>
    </row>
    <row r="67" spans="1:25" s="60" customFormat="1" ht="14.25" customHeight="1" x14ac:dyDescent="0.35">
      <c r="A67" s="1"/>
      <c r="B67" s="97" t="s">
        <v>61</v>
      </c>
      <c r="C67" s="9"/>
      <c r="D67" s="9"/>
      <c r="E67" s="9"/>
      <c r="F67" s="10"/>
      <c r="G67" s="11"/>
      <c r="H67" s="11"/>
      <c r="I67" s="12">
        <f t="shared" si="27"/>
        <v>0</v>
      </c>
      <c r="J67" s="12">
        <f t="shared" si="28"/>
        <v>0</v>
      </c>
      <c r="K67" s="12">
        <f t="shared" si="29"/>
        <v>0</v>
      </c>
      <c r="L67" s="12">
        <f t="shared" si="30"/>
        <v>0</v>
      </c>
      <c r="M67" s="12">
        <f t="shared" si="31"/>
        <v>0</v>
      </c>
      <c r="N67" s="59"/>
      <c r="O67" s="59"/>
      <c r="P67" s="59"/>
      <c r="Q67" s="59"/>
      <c r="R67" s="59"/>
      <c r="S67" s="59"/>
      <c r="T67" s="59"/>
      <c r="U67" s="59"/>
      <c r="V67" s="59"/>
      <c r="W67" s="59"/>
      <c r="X67" s="59"/>
      <c r="Y67" s="98"/>
    </row>
    <row r="68" spans="1:25" s="61" customFormat="1" ht="14.25" customHeight="1" x14ac:dyDescent="0.35">
      <c r="A68" s="1"/>
      <c r="B68" s="97" t="s">
        <v>62</v>
      </c>
      <c r="C68" s="9"/>
      <c r="D68" s="9"/>
      <c r="E68" s="9"/>
      <c r="F68" s="10"/>
      <c r="G68" s="11"/>
      <c r="H68" s="11"/>
      <c r="I68" s="12">
        <f t="shared" si="27"/>
        <v>0</v>
      </c>
      <c r="J68" s="12">
        <f t="shared" si="28"/>
        <v>0</v>
      </c>
      <c r="K68" s="12">
        <f t="shared" si="29"/>
        <v>0</v>
      </c>
      <c r="L68" s="12">
        <f t="shared" si="30"/>
        <v>0</v>
      </c>
      <c r="M68" s="12">
        <f t="shared" si="31"/>
        <v>0</v>
      </c>
      <c r="N68" s="59"/>
      <c r="O68" s="59"/>
      <c r="P68" s="59"/>
      <c r="Q68" s="59"/>
      <c r="R68" s="59"/>
      <c r="S68" s="59"/>
      <c r="T68" s="59"/>
      <c r="U68" s="59"/>
      <c r="V68" s="59"/>
      <c r="W68" s="59"/>
      <c r="X68" s="59"/>
      <c r="Y68" s="98"/>
    </row>
    <row r="69" spans="1:25" s="60" customFormat="1" ht="14.25" customHeight="1" x14ac:dyDescent="0.35">
      <c r="A69" s="1"/>
      <c r="B69" s="97" t="s">
        <v>63</v>
      </c>
      <c r="C69" s="9"/>
      <c r="D69" s="9"/>
      <c r="E69" s="9"/>
      <c r="F69" s="10"/>
      <c r="G69" s="11"/>
      <c r="H69" s="11"/>
      <c r="I69" s="12">
        <f t="shared" si="27"/>
        <v>0</v>
      </c>
      <c r="J69" s="12">
        <f t="shared" si="28"/>
        <v>0</v>
      </c>
      <c r="K69" s="12">
        <f t="shared" si="29"/>
        <v>0</v>
      </c>
      <c r="L69" s="12">
        <f t="shared" si="30"/>
        <v>0</v>
      </c>
      <c r="M69" s="12">
        <f t="shared" si="31"/>
        <v>0</v>
      </c>
      <c r="N69" s="59"/>
      <c r="O69" s="59"/>
      <c r="P69" s="59"/>
      <c r="Q69" s="59"/>
      <c r="R69" s="59"/>
      <c r="S69" s="59"/>
      <c r="T69" s="59"/>
      <c r="U69" s="59"/>
      <c r="V69" s="59"/>
      <c r="W69" s="59"/>
      <c r="X69" s="59"/>
      <c r="Y69" s="98"/>
    </row>
    <row r="70" spans="1:25" s="60" customFormat="1" ht="14.25" customHeight="1" x14ac:dyDescent="0.35">
      <c r="A70" s="1"/>
      <c r="B70" s="97" t="s">
        <v>64</v>
      </c>
      <c r="C70" s="9"/>
      <c r="D70" s="9"/>
      <c r="E70" s="9"/>
      <c r="F70" s="10"/>
      <c r="G70" s="11"/>
      <c r="H70" s="11"/>
      <c r="I70" s="12">
        <f t="shared" si="27"/>
        <v>0</v>
      </c>
      <c r="J70" s="12">
        <f t="shared" si="28"/>
        <v>0</v>
      </c>
      <c r="K70" s="12">
        <f t="shared" si="29"/>
        <v>0</v>
      </c>
      <c r="L70" s="12">
        <f t="shared" si="30"/>
        <v>0</v>
      </c>
      <c r="M70" s="12">
        <f t="shared" si="31"/>
        <v>0</v>
      </c>
      <c r="N70" s="59"/>
      <c r="O70" s="59"/>
      <c r="P70" s="59"/>
      <c r="Q70" s="59"/>
      <c r="R70" s="59"/>
      <c r="S70" s="59"/>
      <c r="T70" s="59"/>
      <c r="U70" s="59"/>
      <c r="V70" s="59"/>
      <c r="W70" s="59"/>
      <c r="X70" s="59"/>
      <c r="Y70" s="98"/>
    </row>
    <row r="71" spans="1:25" s="60" customFormat="1" ht="14.25" customHeight="1" x14ac:dyDescent="0.35">
      <c r="A71" s="1"/>
      <c r="B71" s="97" t="s">
        <v>65</v>
      </c>
      <c r="C71" s="9"/>
      <c r="D71" s="9"/>
      <c r="E71" s="9"/>
      <c r="F71" s="10"/>
      <c r="G71" s="11"/>
      <c r="H71" s="11"/>
      <c r="I71" s="12">
        <f t="shared" ref="I71:I72" si="32">(F71*G71)+H71</f>
        <v>0</v>
      </c>
      <c r="J71" s="12">
        <f t="shared" ref="J71:J72" si="33">I71*$D$20</f>
        <v>0</v>
      </c>
      <c r="K71" s="12">
        <f t="shared" ref="K71:K72" si="34">SUM(I71:J71)*5%</f>
        <v>0</v>
      </c>
      <c r="L71" s="12">
        <f t="shared" ref="L71:L72" si="35">SUM(I71:K71)</f>
        <v>0</v>
      </c>
      <c r="M71" s="12">
        <f t="shared" ref="M71:M72" si="36">SUM(N71, O71,P71,Q71,R71,S71,T71,U71,V71,W71,X71,Y71)</f>
        <v>0</v>
      </c>
      <c r="N71" s="59"/>
      <c r="O71" s="59"/>
      <c r="P71" s="59"/>
      <c r="Q71" s="59"/>
      <c r="R71" s="59"/>
      <c r="S71" s="59"/>
      <c r="T71" s="59"/>
      <c r="U71" s="59"/>
      <c r="V71" s="59"/>
      <c r="W71" s="59"/>
      <c r="X71" s="59"/>
      <c r="Y71" s="98"/>
    </row>
    <row r="72" spans="1:25" s="60" customFormat="1" ht="14.25" customHeight="1" x14ac:dyDescent="0.35">
      <c r="A72" s="1"/>
      <c r="B72" s="97" t="s">
        <v>66</v>
      </c>
      <c r="C72" s="9"/>
      <c r="D72" s="9"/>
      <c r="E72" s="9"/>
      <c r="F72" s="10"/>
      <c r="G72" s="11"/>
      <c r="H72" s="11"/>
      <c r="I72" s="12">
        <f t="shared" si="32"/>
        <v>0</v>
      </c>
      <c r="J72" s="12">
        <f t="shared" si="33"/>
        <v>0</v>
      </c>
      <c r="K72" s="12">
        <f t="shared" si="34"/>
        <v>0</v>
      </c>
      <c r="L72" s="12">
        <f t="shared" si="35"/>
        <v>0</v>
      </c>
      <c r="M72" s="12">
        <f t="shared" si="36"/>
        <v>0</v>
      </c>
      <c r="N72" s="59"/>
      <c r="O72" s="59"/>
      <c r="P72" s="59"/>
      <c r="Q72" s="59"/>
      <c r="R72" s="59"/>
      <c r="S72" s="59"/>
      <c r="T72" s="59"/>
      <c r="U72" s="59"/>
      <c r="V72" s="59"/>
      <c r="W72" s="59"/>
      <c r="X72" s="59"/>
      <c r="Y72" s="98"/>
    </row>
    <row r="73" spans="1:25" s="60" customFormat="1" ht="14.25" customHeight="1" x14ac:dyDescent="0.35">
      <c r="A73" s="1"/>
      <c r="B73" s="97" t="s">
        <v>67</v>
      </c>
      <c r="C73" s="9"/>
      <c r="D73" s="9"/>
      <c r="E73" s="9"/>
      <c r="F73" s="10"/>
      <c r="G73" s="11"/>
      <c r="H73" s="11"/>
      <c r="I73" s="12">
        <f t="shared" si="27"/>
        <v>0</v>
      </c>
      <c r="J73" s="12">
        <f t="shared" si="28"/>
        <v>0</v>
      </c>
      <c r="K73" s="12">
        <f t="shared" si="29"/>
        <v>0</v>
      </c>
      <c r="L73" s="12">
        <f t="shared" si="30"/>
        <v>0</v>
      </c>
      <c r="M73" s="12">
        <f t="shared" si="31"/>
        <v>0</v>
      </c>
      <c r="N73" s="59"/>
      <c r="O73" s="59"/>
      <c r="P73" s="59"/>
      <c r="Q73" s="59"/>
      <c r="R73" s="59"/>
      <c r="S73" s="59"/>
      <c r="T73" s="59"/>
      <c r="U73" s="59"/>
      <c r="V73" s="59"/>
      <c r="W73" s="59"/>
      <c r="X73" s="59"/>
      <c r="Y73" s="98"/>
    </row>
    <row r="74" spans="1:25" s="60" customFormat="1" ht="14.25" customHeight="1" x14ac:dyDescent="0.35">
      <c r="A74" s="1"/>
      <c r="B74" s="97" t="s">
        <v>126</v>
      </c>
      <c r="C74" s="9"/>
      <c r="D74" s="9"/>
      <c r="E74" s="9"/>
      <c r="F74" s="10"/>
      <c r="G74" s="11"/>
      <c r="H74" s="11"/>
      <c r="I74" s="12">
        <f t="shared" si="27"/>
        <v>0</v>
      </c>
      <c r="J74" s="12">
        <f t="shared" si="28"/>
        <v>0</v>
      </c>
      <c r="K74" s="12">
        <f t="shared" si="29"/>
        <v>0</v>
      </c>
      <c r="L74" s="12">
        <f t="shared" si="30"/>
        <v>0</v>
      </c>
      <c r="M74" s="12">
        <f t="shared" si="31"/>
        <v>0</v>
      </c>
      <c r="N74" s="59"/>
      <c r="O74" s="59"/>
      <c r="P74" s="59"/>
      <c r="Q74" s="59"/>
      <c r="R74" s="59"/>
      <c r="S74" s="59"/>
      <c r="T74" s="59"/>
      <c r="U74" s="59"/>
      <c r="V74" s="59"/>
      <c r="W74" s="59"/>
      <c r="X74" s="59"/>
      <c r="Y74" s="98"/>
    </row>
    <row r="75" spans="1:25" s="60" customFormat="1" ht="14.25" customHeight="1" x14ac:dyDescent="0.35">
      <c r="A75" s="1"/>
      <c r="B75" s="97" t="s">
        <v>127</v>
      </c>
      <c r="C75" s="9"/>
      <c r="D75" s="9"/>
      <c r="E75" s="9"/>
      <c r="F75" s="10"/>
      <c r="G75" s="11"/>
      <c r="H75" s="11"/>
      <c r="I75" s="12">
        <f t="shared" si="27"/>
        <v>0</v>
      </c>
      <c r="J75" s="12">
        <f t="shared" si="28"/>
        <v>0</v>
      </c>
      <c r="K75" s="12">
        <f t="shared" si="29"/>
        <v>0</v>
      </c>
      <c r="L75" s="12">
        <f t="shared" si="30"/>
        <v>0</v>
      </c>
      <c r="M75" s="12">
        <f t="shared" si="31"/>
        <v>0</v>
      </c>
      <c r="N75" s="59"/>
      <c r="O75" s="59"/>
      <c r="P75" s="59"/>
      <c r="Q75" s="59"/>
      <c r="R75" s="59"/>
      <c r="S75" s="59"/>
      <c r="T75" s="59"/>
      <c r="U75" s="59"/>
      <c r="V75" s="59"/>
      <c r="W75" s="59"/>
      <c r="X75" s="59"/>
      <c r="Y75" s="98"/>
    </row>
    <row r="76" spans="1:25" s="18" customFormat="1" ht="15.5" x14ac:dyDescent="0.35">
      <c r="A76" s="1"/>
      <c r="B76" s="193" t="s">
        <v>68</v>
      </c>
      <c r="C76" s="137"/>
      <c r="D76" s="138"/>
      <c r="E76" s="6"/>
      <c r="F76" s="7"/>
      <c r="G76" s="8"/>
      <c r="H76" s="8">
        <f t="shared" ref="H76:Y76" si="37">SUM(H77:H88)</f>
        <v>1</v>
      </c>
      <c r="I76" s="8">
        <f t="shared" si="37"/>
        <v>6001</v>
      </c>
      <c r="J76" s="8">
        <f t="shared" si="37"/>
        <v>435.07249999999999</v>
      </c>
      <c r="K76" s="8">
        <f t="shared" si="37"/>
        <v>321.80362500000001</v>
      </c>
      <c r="L76" s="8">
        <f t="shared" si="37"/>
        <v>6757.8761250000007</v>
      </c>
      <c r="M76" s="8">
        <f t="shared" si="37"/>
        <v>6757.8761250000007</v>
      </c>
      <c r="N76" s="8">
        <f t="shared" si="37"/>
        <v>6757.8761250000007</v>
      </c>
      <c r="O76" s="8">
        <f t="shared" si="37"/>
        <v>0</v>
      </c>
      <c r="P76" s="8">
        <f t="shared" si="37"/>
        <v>0</v>
      </c>
      <c r="Q76" s="8">
        <f t="shared" si="37"/>
        <v>0</v>
      </c>
      <c r="R76" s="8">
        <f t="shared" si="37"/>
        <v>0</v>
      </c>
      <c r="S76" s="8">
        <f t="shared" si="37"/>
        <v>0</v>
      </c>
      <c r="T76" s="8">
        <f t="shared" si="37"/>
        <v>0</v>
      </c>
      <c r="U76" s="8">
        <f t="shared" si="37"/>
        <v>0</v>
      </c>
      <c r="V76" s="8">
        <f t="shared" si="37"/>
        <v>0</v>
      </c>
      <c r="W76" s="8">
        <f t="shared" si="37"/>
        <v>0</v>
      </c>
      <c r="X76" s="8">
        <f t="shared" si="37"/>
        <v>0</v>
      </c>
      <c r="Y76" s="96">
        <f t="shared" si="37"/>
        <v>0</v>
      </c>
    </row>
    <row r="77" spans="1:25" s="60" customFormat="1" ht="14.25" customHeight="1" x14ac:dyDescent="0.35">
      <c r="A77" s="1"/>
      <c r="B77" s="97" t="s">
        <v>69</v>
      </c>
      <c r="C77" s="9" t="s">
        <v>101</v>
      </c>
      <c r="D77" s="9" t="s">
        <v>102</v>
      </c>
      <c r="E77" s="9" t="s">
        <v>111</v>
      </c>
      <c r="F77" s="10">
        <v>2</v>
      </c>
      <c r="G77" s="11">
        <v>3000</v>
      </c>
      <c r="H77" s="11">
        <v>1</v>
      </c>
      <c r="I77" s="12">
        <f t="shared" ref="I77:I88" si="38">(F77*G77)+H77</f>
        <v>6001</v>
      </c>
      <c r="J77" s="12">
        <f t="shared" ref="J77:J88" si="39">I77*$D$20</f>
        <v>435.07249999999999</v>
      </c>
      <c r="K77" s="12">
        <f t="shared" ref="K77:K88" si="40">SUM(I77:J77)*5%</f>
        <v>321.80362500000001</v>
      </c>
      <c r="L77" s="12">
        <f t="shared" ref="L77:L88" si="41">SUM(I77:K77)</f>
        <v>6757.8761250000007</v>
      </c>
      <c r="M77" s="12">
        <f t="shared" ref="M77:M88" si="42">SUM(N77, O77,P77,Q77,R77,S77,T77,U77,V77,W77,X77,Y77)</f>
        <v>6757.8761250000007</v>
      </c>
      <c r="N77" s="59">
        <f>L77</f>
        <v>6757.8761250000007</v>
      </c>
      <c r="O77" s="59"/>
      <c r="P77" s="59"/>
      <c r="Q77" s="59"/>
      <c r="R77" s="59"/>
      <c r="S77" s="59"/>
      <c r="T77" s="59"/>
      <c r="U77" s="59"/>
      <c r="V77" s="59"/>
      <c r="W77" s="59"/>
      <c r="X77" s="59"/>
      <c r="Y77" s="98"/>
    </row>
    <row r="78" spans="1:25" s="60" customFormat="1" ht="14.25" customHeight="1" x14ac:dyDescent="0.35">
      <c r="A78" s="1"/>
      <c r="B78" s="97" t="s">
        <v>70</v>
      </c>
      <c r="C78" s="9"/>
      <c r="D78" s="9"/>
      <c r="E78" s="9"/>
      <c r="F78" s="10"/>
      <c r="G78" s="11"/>
      <c r="H78" s="11"/>
      <c r="I78" s="12">
        <f t="shared" si="38"/>
        <v>0</v>
      </c>
      <c r="J78" s="12">
        <f t="shared" si="39"/>
        <v>0</v>
      </c>
      <c r="K78" s="12">
        <f t="shared" si="40"/>
        <v>0</v>
      </c>
      <c r="L78" s="12">
        <f t="shared" si="41"/>
        <v>0</v>
      </c>
      <c r="M78" s="12">
        <f t="shared" si="42"/>
        <v>0</v>
      </c>
      <c r="N78" s="59"/>
      <c r="O78" s="59"/>
      <c r="P78" s="59"/>
      <c r="Q78" s="59"/>
      <c r="R78" s="59"/>
      <c r="S78" s="59"/>
      <c r="T78" s="59"/>
      <c r="U78" s="59"/>
      <c r="V78" s="59"/>
      <c r="W78" s="59"/>
      <c r="X78" s="59"/>
      <c r="Y78" s="98"/>
    </row>
    <row r="79" spans="1:25" s="60" customFormat="1" ht="14.25" customHeight="1" x14ac:dyDescent="0.35">
      <c r="A79" s="1"/>
      <c r="B79" s="97" t="s">
        <v>71</v>
      </c>
      <c r="C79" s="9"/>
      <c r="D79" s="9"/>
      <c r="E79" s="9"/>
      <c r="F79" s="10"/>
      <c r="G79" s="11"/>
      <c r="H79" s="11"/>
      <c r="I79" s="12">
        <f t="shared" si="38"/>
        <v>0</v>
      </c>
      <c r="J79" s="12">
        <f t="shared" si="39"/>
        <v>0</v>
      </c>
      <c r="K79" s="12">
        <f t="shared" si="40"/>
        <v>0</v>
      </c>
      <c r="L79" s="12">
        <f t="shared" si="41"/>
        <v>0</v>
      </c>
      <c r="M79" s="12">
        <f t="shared" si="42"/>
        <v>0</v>
      </c>
      <c r="N79" s="59"/>
      <c r="O79" s="59"/>
      <c r="P79" s="59"/>
      <c r="Q79" s="59"/>
      <c r="R79" s="59"/>
      <c r="S79" s="59"/>
      <c r="T79" s="59"/>
      <c r="U79" s="59"/>
      <c r="V79" s="59"/>
      <c r="W79" s="59"/>
      <c r="X79" s="59"/>
      <c r="Y79" s="98"/>
    </row>
    <row r="80" spans="1:25" s="60" customFormat="1" ht="14.25" customHeight="1" x14ac:dyDescent="0.35">
      <c r="A80" s="1"/>
      <c r="B80" s="97" t="s">
        <v>72</v>
      </c>
      <c r="C80" s="9"/>
      <c r="D80" s="9"/>
      <c r="E80" s="9"/>
      <c r="F80" s="10"/>
      <c r="G80" s="11"/>
      <c r="H80" s="11"/>
      <c r="I80" s="12">
        <f t="shared" si="38"/>
        <v>0</v>
      </c>
      <c r="J80" s="12">
        <f t="shared" si="39"/>
        <v>0</v>
      </c>
      <c r="K80" s="12">
        <f t="shared" si="40"/>
        <v>0</v>
      </c>
      <c r="L80" s="12">
        <f t="shared" si="41"/>
        <v>0</v>
      </c>
      <c r="M80" s="12">
        <f t="shared" si="42"/>
        <v>0</v>
      </c>
      <c r="N80" s="59"/>
      <c r="O80" s="59"/>
      <c r="P80" s="59"/>
      <c r="Q80" s="59"/>
      <c r="R80" s="59"/>
      <c r="S80" s="59"/>
      <c r="T80" s="59"/>
      <c r="U80" s="59"/>
      <c r="V80" s="59"/>
      <c r="W80" s="59"/>
      <c r="X80" s="59"/>
      <c r="Y80" s="98"/>
    </row>
    <row r="81" spans="1:25" s="60" customFormat="1" ht="14.25" customHeight="1" x14ac:dyDescent="0.35">
      <c r="A81" s="1"/>
      <c r="B81" s="97" t="s">
        <v>73</v>
      </c>
      <c r="C81" s="9"/>
      <c r="D81" s="9"/>
      <c r="E81" s="9"/>
      <c r="F81" s="10"/>
      <c r="G81" s="11"/>
      <c r="H81" s="11"/>
      <c r="I81" s="12">
        <f t="shared" ref="I81:I82" si="43">(F81*G81)+H81</f>
        <v>0</v>
      </c>
      <c r="J81" s="12">
        <f t="shared" ref="J81:J82" si="44">I81*$D$20</f>
        <v>0</v>
      </c>
      <c r="K81" s="12">
        <f t="shared" ref="K81:K82" si="45">SUM(I81:J81)*5%</f>
        <v>0</v>
      </c>
      <c r="L81" s="12">
        <f t="shared" ref="L81:L82" si="46">SUM(I81:K81)</f>
        <v>0</v>
      </c>
      <c r="M81" s="12">
        <f t="shared" ref="M81:M82" si="47">SUM(N81, O81,P81,Q81,R81,S81,T81,U81,V81,W81,X81,Y81)</f>
        <v>0</v>
      </c>
      <c r="N81" s="59"/>
      <c r="O81" s="59"/>
      <c r="P81" s="59"/>
      <c r="Q81" s="59"/>
      <c r="R81" s="59"/>
      <c r="S81" s="59"/>
      <c r="T81" s="59"/>
      <c r="U81" s="59"/>
      <c r="V81" s="59"/>
      <c r="W81" s="59"/>
      <c r="X81" s="59"/>
      <c r="Y81" s="98"/>
    </row>
    <row r="82" spans="1:25" s="60" customFormat="1" ht="14.25" customHeight="1" x14ac:dyDescent="0.35">
      <c r="A82" s="1"/>
      <c r="B82" s="97" t="s">
        <v>74</v>
      </c>
      <c r="C82" s="9"/>
      <c r="D82" s="9"/>
      <c r="E82" s="9"/>
      <c r="F82" s="10"/>
      <c r="G82" s="11"/>
      <c r="H82" s="11"/>
      <c r="I82" s="12">
        <f t="shared" si="43"/>
        <v>0</v>
      </c>
      <c r="J82" s="12">
        <f t="shared" si="44"/>
        <v>0</v>
      </c>
      <c r="K82" s="12">
        <f t="shared" si="45"/>
        <v>0</v>
      </c>
      <c r="L82" s="12">
        <f t="shared" si="46"/>
        <v>0</v>
      </c>
      <c r="M82" s="12">
        <f t="shared" si="47"/>
        <v>0</v>
      </c>
      <c r="N82" s="59"/>
      <c r="O82" s="59"/>
      <c r="P82" s="59"/>
      <c r="Q82" s="59"/>
      <c r="R82" s="59"/>
      <c r="S82" s="59"/>
      <c r="T82" s="59"/>
      <c r="U82" s="59"/>
      <c r="V82" s="59"/>
      <c r="W82" s="59"/>
      <c r="X82" s="59"/>
      <c r="Y82" s="98"/>
    </row>
    <row r="83" spans="1:25" s="60" customFormat="1" ht="14.25" customHeight="1" x14ac:dyDescent="0.35">
      <c r="A83" s="1"/>
      <c r="B83" s="97" t="s">
        <v>75</v>
      </c>
      <c r="C83" s="9"/>
      <c r="D83" s="9"/>
      <c r="E83" s="9"/>
      <c r="F83" s="10"/>
      <c r="G83" s="11"/>
      <c r="H83" s="11"/>
      <c r="I83" s="12">
        <f t="shared" si="38"/>
        <v>0</v>
      </c>
      <c r="J83" s="12">
        <f t="shared" si="39"/>
        <v>0</v>
      </c>
      <c r="K83" s="12">
        <f t="shared" si="40"/>
        <v>0</v>
      </c>
      <c r="L83" s="12">
        <f t="shared" si="41"/>
        <v>0</v>
      </c>
      <c r="M83" s="12">
        <f t="shared" si="42"/>
        <v>0</v>
      </c>
      <c r="N83" s="59"/>
      <c r="O83" s="59"/>
      <c r="P83" s="59"/>
      <c r="Q83" s="59"/>
      <c r="R83" s="59"/>
      <c r="S83" s="59"/>
      <c r="T83" s="59"/>
      <c r="U83" s="59"/>
      <c r="V83" s="59"/>
      <c r="W83" s="59"/>
      <c r="X83" s="59"/>
      <c r="Y83" s="98"/>
    </row>
    <row r="84" spans="1:25" s="60" customFormat="1" ht="14.25" customHeight="1" x14ac:dyDescent="0.35">
      <c r="A84" s="1"/>
      <c r="B84" s="97" t="s">
        <v>76</v>
      </c>
      <c r="C84" s="9"/>
      <c r="D84" s="9"/>
      <c r="E84" s="9"/>
      <c r="F84" s="10"/>
      <c r="G84" s="11"/>
      <c r="H84" s="11"/>
      <c r="I84" s="12">
        <f t="shared" si="38"/>
        <v>0</v>
      </c>
      <c r="J84" s="12">
        <f t="shared" si="39"/>
        <v>0</v>
      </c>
      <c r="K84" s="12">
        <f t="shared" si="40"/>
        <v>0</v>
      </c>
      <c r="L84" s="12">
        <f t="shared" si="41"/>
        <v>0</v>
      </c>
      <c r="M84" s="12">
        <f t="shared" si="42"/>
        <v>0</v>
      </c>
      <c r="N84" s="59"/>
      <c r="O84" s="59"/>
      <c r="P84" s="59"/>
      <c r="Q84" s="59"/>
      <c r="R84" s="59"/>
      <c r="S84" s="59"/>
      <c r="T84" s="59"/>
      <c r="U84" s="59"/>
      <c r="V84" s="59"/>
      <c r="W84" s="59"/>
      <c r="X84" s="59"/>
      <c r="Y84" s="98"/>
    </row>
    <row r="85" spans="1:25" s="60" customFormat="1" ht="14.25" customHeight="1" x14ac:dyDescent="0.35">
      <c r="A85" s="1"/>
      <c r="B85" s="97" t="s">
        <v>77</v>
      </c>
      <c r="C85" s="9"/>
      <c r="D85" s="9"/>
      <c r="E85" s="9"/>
      <c r="F85" s="10"/>
      <c r="G85" s="11"/>
      <c r="H85" s="11"/>
      <c r="I85" s="12">
        <f t="shared" si="38"/>
        <v>0</v>
      </c>
      <c r="J85" s="12">
        <f t="shared" si="39"/>
        <v>0</v>
      </c>
      <c r="K85" s="12">
        <f t="shared" si="40"/>
        <v>0</v>
      </c>
      <c r="L85" s="12">
        <f t="shared" si="41"/>
        <v>0</v>
      </c>
      <c r="M85" s="12">
        <f t="shared" si="42"/>
        <v>0</v>
      </c>
      <c r="N85" s="59"/>
      <c r="O85" s="59"/>
      <c r="P85" s="59"/>
      <c r="Q85" s="59"/>
      <c r="R85" s="59"/>
      <c r="S85" s="59"/>
      <c r="T85" s="59"/>
      <c r="U85" s="59"/>
      <c r="V85" s="59"/>
      <c r="W85" s="59"/>
      <c r="X85" s="59"/>
      <c r="Y85" s="98"/>
    </row>
    <row r="86" spans="1:25" s="60" customFormat="1" ht="14.25" customHeight="1" x14ac:dyDescent="0.35">
      <c r="A86" s="1"/>
      <c r="B86" s="97" t="s">
        <v>78</v>
      </c>
      <c r="C86" s="9"/>
      <c r="D86" s="9"/>
      <c r="E86" s="9"/>
      <c r="F86" s="10"/>
      <c r="G86" s="11"/>
      <c r="H86" s="11"/>
      <c r="I86" s="12">
        <f t="shared" si="38"/>
        <v>0</v>
      </c>
      <c r="J86" s="12">
        <f t="shared" si="39"/>
        <v>0</v>
      </c>
      <c r="K86" s="12">
        <f t="shared" si="40"/>
        <v>0</v>
      </c>
      <c r="L86" s="12">
        <f t="shared" si="41"/>
        <v>0</v>
      </c>
      <c r="M86" s="12">
        <f t="shared" si="42"/>
        <v>0</v>
      </c>
      <c r="N86" s="59"/>
      <c r="O86" s="59"/>
      <c r="P86" s="59"/>
      <c r="Q86" s="59"/>
      <c r="R86" s="59"/>
      <c r="S86" s="59"/>
      <c r="T86" s="59"/>
      <c r="U86" s="59"/>
      <c r="V86" s="59"/>
      <c r="W86" s="59"/>
      <c r="X86" s="59"/>
      <c r="Y86" s="98"/>
    </row>
    <row r="87" spans="1:25" s="60" customFormat="1" ht="14.25" customHeight="1" x14ac:dyDescent="0.35">
      <c r="A87" s="1"/>
      <c r="B87" s="97" t="s">
        <v>128</v>
      </c>
      <c r="C87" s="9"/>
      <c r="D87" s="9"/>
      <c r="E87" s="9"/>
      <c r="F87" s="10"/>
      <c r="G87" s="11"/>
      <c r="H87" s="11"/>
      <c r="I87" s="12">
        <f t="shared" si="38"/>
        <v>0</v>
      </c>
      <c r="J87" s="12">
        <f t="shared" si="39"/>
        <v>0</v>
      </c>
      <c r="K87" s="12">
        <f t="shared" si="40"/>
        <v>0</v>
      </c>
      <c r="L87" s="12">
        <f t="shared" si="41"/>
        <v>0</v>
      </c>
      <c r="M87" s="12">
        <f t="shared" si="42"/>
        <v>0</v>
      </c>
      <c r="N87" s="59"/>
      <c r="O87" s="59"/>
      <c r="P87" s="59"/>
      <c r="Q87" s="59"/>
      <c r="R87" s="59"/>
      <c r="S87" s="59"/>
      <c r="T87" s="59"/>
      <c r="U87" s="59"/>
      <c r="V87" s="59"/>
      <c r="W87" s="59"/>
      <c r="X87" s="59"/>
      <c r="Y87" s="98"/>
    </row>
    <row r="88" spans="1:25" s="60" customFormat="1" ht="14.25" customHeight="1" x14ac:dyDescent="0.35">
      <c r="A88" s="1"/>
      <c r="B88" s="97" t="s">
        <v>129</v>
      </c>
      <c r="C88" s="9"/>
      <c r="D88" s="9"/>
      <c r="E88" s="9"/>
      <c r="F88" s="10"/>
      <c r="G88" s="11"/>
      <c r="H88" s="11"/>
      <c r="I88" s="12">
        <f t="shared" si="38"/>
        <v>0</v>
      </c>
      <c r="J88" s="12">
        <f t="shared" si="39"/>
        <v>0</v>
      </c>
      <c r="K88" s="12">
        <f t="shared" si="40"/>
        <v>0</v>
      </c>
      <c r="L88" s="12">
        <f t="shared" si="41"/>
        <v>0</v>
      </c>
      <c r="M88" s="12">
        <f t="shared" si="42"/>
        <v>0</v>
      </c>
      <c r="N88" s="59"/>
      <c r="O88" s="59"/>
      <c r="P88" s="59"/>
      <c r="Q88" s="59"/>
      <c r="R88" s="59"/>
      <c r="S88" s="59"/>
      <c r="T88" s="59"/>
      <c r="U88" s="59"/>
      <c r="V88" s="59"/>
      <c r="W88" s="59"/>
      <c r="X88" s="59"/>
      <c r="Y88" s="98"/>
    </row>
    <row r="89" spans="1:25" s="18" customFormat="1" ht="15.5" x14ac:dyDescent="0.35">
      <c r="A89" s="1"/>
      <c r="B89" s="193" t="s">
        <v>79</v>
      </c>
      <c r="C89" s="137"/>
      <c r="D89" s="138"/>
      <c r="E89" s="6"/>
      <c r="F89" s="7"/>
      <c r="G89" s="8"/>
      <c r="H89" s="8">
        <f t="shared" ref="H89:Y89" si="48">SUM(H90:H101)</f>
        <v>1</v>
      </c>
      <c r="I89" s="8">
        <f t="shared" si="48"/>
        <v>1601</v>
      </c>
      <c r="J89" s="8">
        <f t="shared" si="48"/>
        <v>116.07249999999999</v>
      </c>
      <c r="K89" s="8">
        <f t="shared" si="48"/>
        <v>85.853625000000008</v>
      </c>
      <c r="L89" s="8">
        <f t="shared" si="48"/>
        <v>1802.926125</v>
      </c>
      <c r="M89" s="8">
        <f t="shared" si="48"/>
        <v>1802.926125</v>
      </c>
      <c r="N89" s="8">
        <f t="shared" si="48"/>
        <v>1802.926125</v>
      </c>
      <c r="O89" s="8">
        <f t="shared" si="48"/>
        <v>0</v>
      </c>
      <c r="P89" s="8">
        <f t="shared" si="48"/>
        <v>0</v>
      </c>
      <c r="Q89" s="8">
        <f t="shared" si="48"/>
        <v>0</v>
      </c>
      <c r="R89" s="8">
        <f t="shared" si="48"/>
        <v>0</v>
      </c>
      <c r="S89" s="8">
        <f t="shared" si="48"/>
        <v>0</v>
      </c>
      <c r="T89" s="8">
        <f t="shared" si="48"/>
        <v>0</v>
      </c>
      <c r="U89" s="8">
        <f t="shared" si="48"/>
        <v>0</v>
      </c>
      <c r="V89" s="8">
        <f t="shared" si="48"/>
        <v>0</v>
      </c>
      <c r="W89" s="8">
        <f t="shared" si="48"/>
        <v>0</v>
      </c>
      <c r="X89" s="8">
        <f t="shared" si="48"/>
        <v>0</v>
      </c>
      <c r="Y89" s="96">
        <f t="shared" si="48"/>
        <v>0</v>
      </c>
    </row>
    <row r="90" spans="1:25" s="60" customFormat="1" ht="14.25" customHeight="1" x14ac:dyDescent="0.35">
      <c r="A90" s="1"/>
      <c r="B90" s="97" t="s">
        <v>80</v>
      </c>
      <c r="C90" s="9" t="s">
        <v>101</v>
      </c>
      <c r="D90" s="9" t="s">
        <v>102</v>
      </c>
      <c r="E90" s="9" t="s">
        <v>108</v>
      </c>
      <c r="F90" s="10">
        <v>1</v>
      </c>
      <c r="G90" s="11">
        <v>1600</v>
      </c>
      <c r="H90" s="11">
        <v>1</v>
      </c>
      <c r="I90" s="12">
        <f t="shared" ref="I90:I101" si="49">(F90*G90)+H90</f>
        <v>1601</v>
      </c>
      <c r="J90" s="12">
        <f t="shared" ref="J90:J101" si="50">I90*$D$20</f>
        <v>116.07249999999999</v>
      </c>
      <c r="K90" s="12">
        <f t="shared" ref="K90:K101" si="51">SUM(I90:J90)*5%</f>
        <v>85.853625000000008</v>
      </c>
      <c r="L90" s="12">
        <f t="shared" ref="L90:L101" si="52">SUM(I90:K90)</f>
        <v>1802.926125</v>
      </c>
      <c r="M90" s="12">
        <f t="shared" ref="M90:M101" si="53">SUM(N90, O90,P90,Q90,R90,S90,T90,U90,V90,W90,X90,Y90)</f>
        <v>1802.926125</v>
      </c>
      <c r="N90" s="59">
        <f>L90</f>
        <v>1802.926125</v>
      </c>
      <c r="O90" s="59"/>
      <c r="P90" s="59"/>
      <c r="Q90" s="59"/>
      <c r="R90" s="59"/>
      <c r="S90" s="59"/>
      <c r="T90" s="59"/>
      <c r="U90" s="59"/>
      <c r="V90" s="59"/>
      <c r="W90" s="59"/>
      <c r="X90" s="59"/>
      <c r="Y90" s="98"/>
    </row>
    <row r="91" spans="1:25" s="60" customFormat="1" ht="14.25" customHeight="1" x14ac:dyDescent="0.35">
      <c r="A91" s="1"/>
      <c r="B91" s="97" t="s">
        <v>81</v>
      </c>
      <c r="C91" s="9"/>
      <c r="D91" s="9"/>
      <c r="E91" s="9"/>
      <c r="F91" s="10"/>
      <c r="G91" s="11"/>
      <c r="H91" s="11"/>
      <c r="I91" s="12">
        <f t="shared" si="49"/>
        <v>0</v>
      </c>
      <c r="J91" s="12">
        <f t="shared" si="50"/>
        <v>0</v>
      </c>
      <c r="K91" s="12">
        <f t="shared" si="51"/>
        <v>0</v>
      </c>
      <c r="L91" s="12">
        <f t="shared" si="52"/>
        <v>0</v>
      </c>
      <c r="M91" s="12">
        <f t="shared" si="53"/>
        <v>0</v>
      </c>
      <c r="N91" s="59"/>
      <c r="O91" s="59"/>
      <c r="P91" s="59"/>
      <c r="Q91" s="59"/>
      <c r="R91" s="59"/>
      <c r="S91" s="59"/>
      <c r="T91" s="59"/>
      <c r="U91" s="59"/>
      <c r="V91" s="59"/>
      <c r="W91" s="59"/>
      <c r="X91" s="59"/>
      <c r="Y91" s="98"/>
    </row>
    <row r="92" spans="1:25" s="60" customFormat="1" ht="14.25" customHeight="1" x14ac:dyDescent="0.35">
      <c r="A92" s="1"/>
      <c r="B92" s="97" t="s">
        <v>82</v>
      </c>
      <c r="C92" s="9"/>
      <c r="D92" s="9"/>
      <c r="E92" s="9"/>
      <c r="F92" s="10"/>
      <c r="G92" s="11"/>
      <c r="H92" s="11"/>
      <c r="I92" s="12">
        <f t="shared" si="49"/>
        <v>0</v>
      </c>
      <c r="J92" s="12">
        <f t="shared" si="50"/>
        <v>0</v>
      </c>
      <c r="K92" s="12">
        <f t="shared" si="51"/>
        <v>0</v>
      </c>
      <c r="L92" s="12">
        <f t="shared" si="52"/>
        <v>0</v>
      </c>
      <c r="M92" s="12">
        <f t="shared" si="53"/>
        <v>0</v>
      </c>
      <c r="N92" s="59"/>
      <c r="O92" s="59"/>
      <c r="P92" s="59"/>
      <c r="Q92" s="59"/>
      <c r="R92" s="59"/>
      <c r="S92" s="59"/>
      <c r="T92" s="59"/>
      <c r="U92" s="59"/>
      <c r="V92" s="59"/>
      <c r="W92" s="59"/>
      <c r="X92" s="59"/>
      <c r="Y92" s="98"/>
    </row>
    <row r="93" spans="1:25" s="60" customFormat="1" ht="14.25" customHeight="1" x14ac:dyDescent="0.35">
      <c r="A93" s="1"/>
      <c r="B93" s="97" t="s">
        <v>83</v>
      </c>
      <c r="C93" s="9"/>
      <c r="D93" s="9"/>
      <c r="E93" s="9"/>
      <c r="F93" s="10"/>
      <c r="G93" s="11"/>
      <c r="H93" s="11"/>
      <c r="I93" s="12">
        <f t="shared" si="49"/>
        <v>0</v>
      </c>
      <c r="J93" s="12">
        <f t="shared" si="50"/>
        <v>0</v>
      </c>
      <c r="K93" s="12">
        <f t="shared" si="51"/>
        <v>0</v>
      </c>
      <c r="L93" s="12">
        <f t="shared" si="52"/>
        <v>0</v>
      </c>
      <c r="M93" s="12">
        <f t="shared" si="53"/>
        <v>0</v>
      </c>
      <c r="N93" s="59"/>
      <c r="O93" s="59"/>
      <c r="P93" s="59"/>
      <c r="Q93" s="59"/>
      <c r="R93" s="59"/>
      <c r="S93" s="59"/>
      <c r="T93" s="59"/>
      <c r="U93" s="59"/>
      <c r="V93" s="59"/>
      <c r="W93" s="59"/>
      <c r="X93" s="59"/>
      <c r="Y93" s="98"/>
    </row>
    <row r="94" spans="1:25" s="60" customFormat="1" ht="14.25" customHeight="1" x14ac:dyDescent="0.35">
      <c r="A94" s="1"/>
      <c r="B94" s="97" t="s">
        <v>84</v>
      </c>
      <c r="C94" s="9"/>
      <c r="D94" s="9"/>
      <c r="E94" s="9"/>
      <c r="F94" s="10"/>
      <c r="G94" s="11"/>
      <c r="H94" s="11"/>
      <c r="I94" s="12">
        <f t="shared" si="49"/>
        <v>0</v>
      </c>
      <c r="J94" s="12">
        <f t="shared" si="50"/>
        <v>0</v>
      </c>
      <c r="K94" s="12">
        <f t="shared" si="51"/>
        <v>0</v>
      </c>
      <c r="L94" s="12">
        <f t="shared" si="52"/>
        <v>0</v>
      </c>
      <c r="M94" s="12">
        <f t="shared" si="53"/>
        <v>0</v>
      </c>
      <c r="N94" s="59"/>
      <c r="O94" s="59"/>
      <c r="P94" s="59"/>
      <c r="Q94" s="59"/>
      <c r="R94" s="59"/>
      <c r="S94" s="59"/>
      <c r="T94" s="59"/>
      <c r="U94" s="59"/>
      <c r="V94" s="59"/>
      <c r="W94" s="59"/>
      <c r="X94" s="59"/>
      <c r="Y94" s="98"/>
    </row>
    <row r="95" spans="1:25" s="60" customFormat="1" ht="14.25" customHeight="1" x14ac:dyDescent="0.35">
      <c r="A95" s="1"/>
      <c r="B95" s="97" t="s">
        <v>85</v>
      </c>
      <c r="C95" s="9"/>
      <c r="D95" s="9"/>
      <c r="E95" s="9"/>
      <c r="F95" s="10"/>
      <c r="G95" s="11"/>
      <c r="H95" s="11"/>
      <c r="I95" s="12">
        <f t="shared" ref="I95:I96" si="54">(F95*G95)+H95</f>
        <v>0</v>
      </c>
      <c r="J95" s="12">
        <f t="shared" ref="J95:J96" si="55">I95*$D$20</f>
        <v>0</v>
      </c>
      <c r="K95" s="12">
        <f t="shared" ref="K95:K96" si="56">SUM(I95:J95)*5%</f>
        <v>0</v>
      </c>
      <c r="L95" s="12">
        <f t="shared" ref="L95:L96" si="57">SUM(I95:K95)</f>
        <v>0</v>
      </c>
      <c r="M95" s="12">
        <f t="shared" ref="M95:M96" si="58">SUM(N95, O95,P95,Q95,R95,S95,T95,U95,V95,W95,X95,Y95)</f>
        <v>0</v>
      </c>
      <c r="N95" s="59"/>
      <c r="O95" s="59"/>
      <c r="P95" s="59"/>
      <c r="Q95" s="59"/>
      <c r="R95" s="59"/>
      <c r="S95" s="59"/>
      <c r="T95" s="59"/>
      <c r="U95" s="59"/>
      <c r="V95" s="59"/>
      <c r="W95" s="59"/>
      <c r="X95" s="59"/>
      <c r="Y95" s="98"/>
    </row>
    <row r="96" spans="1:25" s="60" customFormat="1" ht="14.25" customHeight="1" x14ac:dyDescent="0.35">
      <c r="A96" s="1"/>
      <c r="B96" s="97" t="s">
        <v>86</v>
      </c>
      <c r="C96" s="9"/>
      <c r="D96" s="9"/>
      <c r="E96" s="9"/>
      <c r="F96" s="10"/>
      <c r="G96" s="11"/>
      <c r="H96" s="11"/>
      <c r="I96" s="12">
        <f t="shared" si="54"/>
        <v>0</v>
      </c>
      <c r="J96" s="12">
        <f t="shared" si="55"/>
        <v>0</v>
      </c>
      <c r="K96" s="12">
        <f t="shared" si="56"/>
        <v>0</v>
      </c>
      <c r="L96" s="12">
        <f t="shared" si="57"/>
        <v>0</v>
      </c>
      <c r="M96" s="12">
        <f t="shared" si="58"/>
        <v>0</v>
      </c>
      <c r="N96" s="59"/>
      <c r="O96" s="59"/>
      <c r="P96" s="59"/>
      <c r="Q96" s="59"/>
      <c r="R96" s="59"/>
      <c r="S96" s="59"/>
      <c r="T96" s="59"/>
      <c r="U96" s="59"/>
      <c r="V96" s="59"/>
      <c r="W96" s="59"/>
      <c r="X96" s="59"/>
      <c r="Y96" s="98"/>
    </row>
    <row r="97" spans="1:25" s="60" customFormat="1" ht="14.25" customHeight="1" x14ac:dyDescent="0.35">
      <c r="A97" s="1"/>
      <c r="B97" s="97" t="s">
        <v>87</v>
      </c>
      <c r="C97" s="9"/>
      <c r="D97" s="9"/>
      <c r="E97" s="9"/>
      <c r="F97" s="10"/>
      <c r="G97" s="11"/>
      <c r="H97" s="11"/>
      <c r="I97" s="12">
        <f t="shared" si="49"/>
        <v>0</v>
      </c>
      <c r="J97" s="12">
        <f t="shared" si="50"/>
        <v>0</v>
      </c>
      <c r="K97" s="12">
        <f t="shared" si="51"/>
        <v>0</v>
      </c>
      <c r="L97" s="12">
        <f t="shared" si="52"/>
        <v>0</v>
      </c>
      <c r="M97" s="12">
        <f t="shared" si="53"/>
        <v>0</v>
      </c>
      <c r="N97" s="59"/>
      <c r="O97" s="59"/>
      <c r="P97" s="59"/>
      <c r="Q97" s="59"/>
      <c r="R97" s="59"/>
      <c r="S97" s="59"/>
      <c r="T97" s="59"/>
      <c r="U97" s="59"/>
      <c r="V97" s="59"/>
      <c r="W97" s="59"/>
      <c r="X97" s="59"/>
      <c r="Y97" s="98"/>
    </row>
    <row r="98" spans="1:25" s="60" customFormat="1" ht="14.25" customHeight="1" x14ac:dyDescent="0.35">
      <c r="A98" s="1"/>
      <c r="B98" s="97" t="s">
        <v>88</v>
      </c>
      <c r="C98" s="9"/>
      <c r="D98" s="9"/>
      <c r="E98" s="9"/>
      <c r="F98" s="10"/>
      <c r="G98" s="11"/>
      <c r="H98" s="11"/>
      <c r="I98" s="12">
        <f t="shared" si="49"/>
        <v>0</v>
      </c>
      <c r="J98" s="12">
        <f t="shared" si="50"/>
        <v>0</v>
      </c>
      <c r="K98" s="12">
        <f t="shared" si="51"/>
        <v>0</v>
      </c>
      <c r="L98" s="12">
        <f t="shared" si="52"/>
        <v>0</v>
      </c>
      <c r="M98" s="12">
        <f t="shared" si="53"/>
        <v>0</v>
      </c>
      <c r="N98" s="59"/>
      <c r="O98" s="59"/>
      <c r="P98" s="59"/>
      <c r="Q98" s="59"/>
      <c r="R98" s="59"/>
      <c r="S98" s="59"/>
      <c r="T98" s="59"/>
      <c r="U98" s="59"/>
      <c r="V98" s="59"/>
      <c r="W98" s="59"/>
      <c r="X98" s="59"/>
      <c r="Y98" s="98"/>
    </row>
    <row r="99" spans="1:25" s="60" customFormat="1" ht="14.25" customHeight="1" x14ac:dyDescent="0.35">
      <c r="A99" s="1"/>
      <c r="B99" s="97" t="s">
        <v>89</v>
      </c>
      <c r="C99" s="9"/>
      <c r="D99" s="9"/>
      <c r="E99" s="9"/>
      <c r="F99" s="10"/>
      <c r="G99" s="11"/>
      <c r="H99" s="11"/>
      <c r="I99" s="12">
        <f t="shared" si="49"/>
        <v>0</v>
      </c>
      <c r="J99" s="12">
        <f t="shared" si="50"/>
        <v>0</v>
      </c>
      <c r="K99" s="12">
        <f t="shared" si="51"/>
        <v>0</v>
      </c>
      <c r="L99" s="12">
        <f t="shared" si="52"/>
        <v>0</v>
      </c>
      <c r="M99" s="12">
        <f t="shared" si="53"/>
        <v>0</v>
      </c>
      <c r="N99" s="59"/>
      <c r="O99" s="59"/>
      <c r="P99" s="59"/>
      <c r="Q99" s="59"/>
      <c r="R99" s="59"/>
      <c r="S99" s="59"/>
      <c r="T99" s="59"/>
      <c r="U99" s="59"/>
      <c r="V99" s="59"/>
      <c r="W99" s="59"/>
      <c r="X99" s="59"/>
      <c r="Y99" s="98"/>
    </row>
    <row r="100" spans="1:25" s="60" customFormat="1" ht="14.25" customHeight="1" x14ac:dyDescent="0.35">
      <c r="A100" s="1"/>
      <c r="B100" s="97" t="s">
        <v>130</v>
      </c>
      <c r="C100" s="9"/>
      <c r="D100" s="9"/>
      <c r="E100" s="9"/>
      <c r="F100" s="10"/>
      <c r="G100" s="11"/>
      <c r="H100" s="11"/>
      <c r="I100" s="12">
        <f t="shared" ref="I100" si="59">(F100*G100)+H100</f>
        <v>0</v>
      </c>
      <c r="J100" s="12">
        <f t="shared" ref="J100" si="60">I100*$D$20</f>
        <v>0</v>
      </c>
      <c r="K100" s="12">
        <f t="shared" ref="K100" si="61">SUM(I100:J100)*5%</f>
        <v>0</v>
      </c>
      <c r="L100" s="12">
        <f t="shared" ref="L100" si="62">SUM(I100:K100)</f>
        <v>0</v>
      </c>
      <c r="M100" s="12">
        <f t="shared" ref="M100" si="63">SUM(N100, O100,P100,Q100,R100,S100,T100,U100,V100,W100,X100,Y100)</f>
        <v>0</v>
      </c>
      <c r="N100" s="59"/>
      <c r="O100" s="59"/>
      <c r="P100" s="59"/>
      <c r="Q100" s="59"/>
      <c r="R100" s="59"/>
      <c r="S100" s="59"/>
      <c r="T100" s="59"/>
      <c r="U100" s="59"/>
      <c r="V100" s="59"/>
      <c r="W100" s="59"/>
      <c r="X100" s="59"/>
      <c r="Y100" s="98"/>
    </row>
    <row r="101" spans="1:25" s="60" customFormat="1" ht="14.25" customHeight="1" x14ac:dyDescent="0.35">
      <c r="A101" s="1"/>
      <c r="B101" s="97" t="s">
        <v>131</v>
      </c>
      <c r="C101" s="9"/>
      <c r="D101" s="9"/>
      <c r="E101" s="9"/>
      <c r="F101" s="10"/>
      <c r="G101" s="11"/>
      <c r="H101" s="11"/>
      <c r="I101" s="12">
        <f t="shared" si="49"/>
        <v>0</v>
      </c>
      <c r="J101" s="12">
        <f t="shared" si="50"/>
        <v>0</v>
      </c>
      <c r="K101" s="12">
        <f t="shared" si="51"/>
        <v>0</v>
      </c>
      <c r="L101" s="12">
        <f t="shared" si="52"/>
        <v>0</v>
      </c>
      <c r="M101" s="12">
        <f t="shared" si="53"/>
        <v>0</v>
      </c>
      <c r="N101" s="59"/>
      <c r="O101" s="59"/>
      <c r="P101" s="59"/>
      <c r="Q101" s="59"/>
      <c r="R101" s="59"/>
      <c r="S101" s="59"/>
      <c r="T101" s="59"/>
      <c r="U101" s="59"/>
      <c r="V101" s="59"/>
      <c r="W101" s="59"/>
      <c r="X101" s="59"/>
      <c r="Y101" s="98"/>
    </row>
    <row r="102" spans="1:25" s="18" customFormat="1" ht="15.5" x14ac:dyDescent="0.35">
      <c r="A102" s="1"/>
      <c r="B102" s="193" t="s">
        <v>90</v>
      </c>
      <c r="C102" s="137"/>
      <c r="D102" s="138"/>
      <c r="E102" s="6"/>
      <c r="F102" s="7"/>
      <c r="G102" s="8"/>
      <c r="H102" s="8">
        <f t="shared" ref="H102:Y102" si="64">SUM(H103:H114)</f>
        <v>1</v>
      </c>
      <c r="I102" s="8">
        <f t="shared" si="64"/>
        <v>1601</v>
      </c>
      <c r="J102" s="8">
        <f t="shared" si="64"/>
        <v>116.07249999999999</v>
      </c>
      <c r="K102" s="8">
        <f t="shared" si="64"/>
        <v>85.853625000000008</v>
      </c>
      <c r="L102" s="8">
        <f t="shared" si="64"/>
        <v>1802.926125</v>
      </c>
      <c r="M102" s="8">
        <f t="shared" si="64"/>
        <v>1802.926125</v>
      </c>
      <c r="N102" s="8">
        <f t="shared" si="64"/>
        <v>1802.926125</v>
      </c>
      <c r="O102" s="8">
        <f t="shared" si="64"/>
        <v>0</v>
      </c>
      <c r="P102" s="8">
        <f t="shared" si="64"/>
        <v>0</v>
      </c>
      <c r="Q102" s="8">
        <f t="shared" si="64"/>
        <v>0</v>
      </c>
      <c r="R102" s="8">
        <f t="shared" si="64"/>
        <v>0</v>
      </c>
      <c r="S102" s="8">
        <f t="shared" si="64"/>
        <v>0</v>
      </c>
      <c r="T102" s="8">
        <f t="shared" si="64"/>
        <v>0</v>
      </c>
      <c r="U102" s="8">
        <f t="shared" si="64"/>
        <v>0</v>
      </c>
      <c r="V102" s="8">
        <f t="shared" si="64"/>
        <v>0</v>
      </c>
      <c r="W102" s="8">
        <f t="shared" si="64"/>
        <v>0</v>
      </c>
      <c r="X102" s="8">
        <f t="shared" si="64"/>
        <v>0</v>
      </c>
      <c r="Y102" s="96">
        <f t="shared" si="64"/>
        <v>0</v>
      </c>
    </row>
    <row r="103" spans="1:25" s="60" customFormat="1" ht="14.25" customHeight="1" x14ac:dyDescent="0.35">
      <c r="A103" s="1"/>
      <c r="B103" s="97" t="s">
        <v>91</v>
      </c>
      <c r="C103" s="9" t="s">
        <v>101</v>
      </c>
      <c r="D103" s="9" t="s">
        <v>102</v>
      </c>
      <c r="E103" s="9" t="s">
        <v>107</v>
      </c>
      <c r="F103" s="10">
        <v>1</v>
      </c>
      <c r="G103" s="11">
        <v>1600</v>
      </c>
      <c r="H103" s="11">
        <v>1</v>
      </c>
      <c r="I103" s="12">
        <f t="shared" ref="I103:I114" si="65">(F103*G103)+H103</f>
        <v>1601</v>
      </c>
      <c r="J103" s="12">
        <f t="shared" ref="J103:J114" si="66">I103*$D$20</f>
        <v>116.07249999999999</v>
      </c>
      <c r="K103" s="12">
        <f t="shared" ref="K103:K114" si="67">SUM(I103:J103)*5%</f>
        <v>85.853625000000008</v>
      </c>
      <c r="L103" s="12">
        <f t="shared" ref="L103:L114" si="68">SUM(I103:K103)</f>
        <v>1802.926125</v>
      </c>
      <c r="M103" s="12">
        <f t="shared" ref="M103:M114" si="69">SUM(N103, O103,P103,Q103,R103,S103,T103,U103,V103,W103,X103,Y103)</f>
        <v>1802.926125</v>
      </c>
      <c r="N103" s="59">
        <f>L103</f>
        <v>1802.926125</v>
      </c>
      <c r="O103" s="59"/>
      <c r="P103" s="59"/>
      <c r="Q103" s="59"/>
      <c r="R103" s="59"/>
      <c r="S103" s="59"/>
      <c r="T103" s="59"/>
      <c r="U103" s="59"/>
      <c r="V103" s="59"/>
      <c r="W103" s="59"/>
      <c r="X103" s="59"/>
      <c r="Y103" s="98"/>
    </row>
    <row r="104" spans="1:25" s="60" customFormat="1" ht="14.25" customHeight="1" x14ac:dyDescent="0.35">
      <c r="A104" s="1"/>
      <c r="B104" s="97" t="s">
        <v>92</v>
      </c>
      <c r="C104" s="9"/>
      <c r="D104" s="9"/>
      <c r="E104" s="9"/>
      <c r="F104" s="10"/>
      <c r="G104" s="11"/>
      <c r="H104" s="11"/>
      <c r="I104" s="12">
        <f t="shared" si="65"/>
        <v>0</v>
      </c>
      <c r="J104" s="12">
        <f t="shared" si="66"/>
        <v>0</v>
      </c>
      <c r="K104" s="12">
        <f t="shared" si="67"/>
        <v>0</v>
      </c>
      <c r="L104" s="12">
        <f t="shared" si="68"/>
        <v>0</v>
      </c>
      <c r="M104" s="12">
        <f t="shared" si="69"/>
        <v>0</v>
      </c>
      <c r="N104" s="59"/>
      <c r="O104" s="59"/>
      <c r="P104" s="59"/>
      <c r="Q104" s="59"/>
      <c r="R104" s="59"/>
      <c r="S104" s="59"/>
      <c r="T104" s="59"/>
      <c r="U104" s="59"/>
      <c r="V104" s="59"/>
      <c r="W104" s="59"/>
      <c r="X104" s="59"/>
      <c r="Y104" s="98"/>
    </row>
    <row r="105" spans="1:25" s="60" customFormat="1" ht="14.25" customHeight="1" x14ac:dyDescent="0.35">
      <c r="A105" s="1"/>
      <c r="B105" s="97" t="s">
        <v>93</v>
      </c>
      <c r="C105" s="9"/>
      <c r="D105" s="9"/>
      <c r="E105" s="9"/>
      <c r="F105" s="10"/>
      <c r="G105" s="11"/>
      <c r="H105" s="11"/>
      <c r="I105" s="12">
        <f t="shared" si="65"/>
        <v>0</v>
      </c>
      <c r="J105" s="12">
        <f t="shared" si="66"/>
        <v>0</v>
      </c>
      <c r="K105" s="12">
        <f t="shared" si="67"/>
        <v>0</v>
      </c>
      <c r="L105" s="12">
        <f t="shared" si="68"/>
        <v>0</v>
      </c>
      <c r="M105" s="12">
        <f t="shared" si="69"/>
        <v>0</v>
      </c>
      <c r="N105" s="59"/>
      <c r="O105" s="59"/>
      <c r="P105" s="59"/>
      <c r="Q105" s="59"/>
      <c r="R105" s="59"/>
      <c r="S105" s="59"/>
      <c r="T105" s="59"/>
      <c r="U105" s="59"/>
      <c r="V105" s="59"/>
      <c r="W105" s="59"/>
      <c r="X105" s="59"/>
      <c r="Y105" s="98"/>
    </row>
    <row r="106" spans="1:25" s="61" customFormat="1" ht="14.25" customHeight="1" x14ac:dyDescent="0.35">
      <c r="A106" s="1"/>
      <c r="B106" s="97" t="s">
        <v>94</v>
      </c>
      <c r="C106" s="9"/>
      <c r="D106" s="9"/>
      <c r="E106" s="9"/>
      <c r="F106" s="10"/>
      <c r="G106" s="11"/>
      <c r="H106" s="11"/>
      <c r="I106" s="12">
        <f t="shared" si="65"/>
        <v>0</v>
      </c>
      <c r="J106" s="12">
        <f t="shared" si="66"/>
        <v>0</v>
      </c>
      <c r="K106" s="12">
        <f t="shared" si="67"/>
        <v>0</v>
      </c>
      <c r="L106" s="12">
        <f t="shared" si="68"/>
        <v>0</v>
      </c>
      <c r="M106" s="12">
        <f t="shared" si="69"/>
        <v>0</v>
      </c>
      <c r="N106" s="59"/>
      <c r="O106" s="59"/>
      <c r="P106" s="59"/>
      <c r="Q106" s="59"/>
      <c r="R106" s="59"/>
      <c r="S106" s="59"/>
      <c r="T106" s="59"/>
      <c r="U106" s="59"/>
      <c r="V106" s="59"/>
      <c r="W106" s="59"/>
      <c r="X106" s="59"/>
      <c r="Y106" s="98"/>
    </row>
    <row r="107" spans="1:25" s="60" customFormat="1" ht="14.25" customHeight="1" x14ac:dyDescent="0.35">
      <c r="A107" s="1"/>
      <c r="B107" s="97" t="s">
        <v>95</v>
      </c>
      <c r="C107" s="9"/>
      <c r="D107" s="9"/>
      <c r="E107" s="9"/>
      <c r="F107" s="10"/>
      <c r="G107" s="11"/>
      <c r="H107" s="11"/>
      <c r="I107" s="12">
        <f t="shared" si="65"/>
        <v>0</v>
      </c>
      <c r="J107" s="12">
        <f t="shared" si="66"/>
        <v>0</v>
      </c>
      <c r="K107" s="12">
        <f t="shared" si="67"/>
        <v>0</v>
      </c>
      <c r="L107" s="12">
        <f t="shared" si="68"/>
        <v>0</v>
      </c>
      <c r="M107" s="12">
        <f t="shared" si="69"/>
        <v>0</v>
      </c>
      <c r="N107" s="59"/>
      <c r="O107" s="59"/>
      <c r="P107" s="59"/>
      <c r="Q107" s="59"/>
      <c r="R107" s="59"/>
      <c r="S107" s="59"/>
      <c r="T107" s="59"/>
      <c r="U107" s="59"/>
      <c r="V107" s="59"/>
      <c r="W107" s="59"/>
      <c r="X107" s="59"/>
      <c r="Y107" s="98"/>
    </row>
    <row r="108" spans="1:25" s="60" customFormat="1" ht="14.25" customHeight="1" x14ac:dyDescent="0.35">
      <c r="A108" s="1"/>
      <c r="B108" s="97" t="s">
        <v>96</v>
      </c>
      <c r="C108" s="9"/>
      <c r="D108" s="9"/>
      <c r="E108" s="9"/>
      <c r="F108" s="10"/>
      <c r="G108" s="11"/>
      <c r="H108" s="11"/>
      <c r="I108" s="12">
        <f t="shared" ref="I108:I109" si="70">(F108*G108)+H108</f>
        <v>0</v>
      </c>
      <c r="J108" s="12">
        <f t="shared" ref="J108:J109" si="71">I108*$D$20</f>
        <v>0</v>
      </c>
      <c r="K108" s="12">
        <f t="shared" ref="K108:K109" si="72">SUM(I108:J108)*5%</f>
        <v>0</v>
      </c>
      <c r="L108" s="12">
        <f t="shared" ref="L108:L109" si="73">SUM(I108:K108)</f>
        <v>0</v>
      </c>
      <c r="M108" s="12">
        <f t="shared" ref="M108:M109" si="74">SUM(N108, O108,P108,Q108,R108,S108,T108,U108,V108,W108,X108,Y108)</f>
        <v>0</v>
      </c>
      <c r="N108" s="59"/>
      <c r="O108" s="59"/>
      <c r="P108" s="59"/>
      <c r="Q108" s="59"/>
      <c r="R108" s="59"/>
      <c r="S108" s="59"/>
      <c r="T108" s="59"/>
      <c r="U108" s="59"/>
      <c r="V108" s="59"/>
      <c r="W108" s="59"/>
      <c r="X108" s="59"/>
      <c r="Y108" s="98"/>
    </row>
    <row r="109" spans="1:25" s="60" customFormat="1" ht="14.25" customHeight="1" x14ac:dyDescent="0.35">
      <c r="A109" s="1"/>
      <c r="B109" s="97" t="s">
        <v>97</v>
      </c>
      <c r="C109" s="9"/>
      <c r="D109" s="9"/>
      <c r="E109" s="9"/>
      <c r="F109" s="10"/>
      <c r="G109" s="11"/>
      <c r="H109" s="11"/>
      <c r="I109" s="12">
        <f t="shared" si="70"/>
        <v>0</v>
      </c>
      <c r="J109" s="12">
        <f t="shared" si="71"/>
        <v>0</v>
      </c>
      <c r="K109" s="12">
        <f t="shared" si="72"/>
        <v>0</v>
      </c>
      <c r="L109" s="12">
        <f t="shared" si="73"/>
        <v>0</v>
      </c>
      <c r="M109" s="12">
        <f t="shared" si="74"/>
        <v>0</v>
      </c>
      <c r="N109" s="59"/>
      <c r="O109" s="59"/>
      <c r="P109" s="59"/>
      <c r="Q109" s="59"/>
      <c r="R109" s="59"/>
      <c r="S109" s="59"/>
      <c r="T109" s="59"/>
      <c r="U109" s="59"/>
      <c r="V109" s="59"/>
      <c r="W109" s="59"/>
      <c r="X109" s="59"/>
      <c r="Y109" s="98"/>
    </row>
    <row r="110" spans="1:25" s="60" customFormat="1" ht="14.25" customHeight="1" x14ac:dyDescent="0.35">
      <c r="A110" s="1"/>
      <c r="B110" s="97" t="s">
        <v>98</v>
      </c>
      <c r="C110" s="9"/>
      <c r="D110" s="9"/>
      <c r="E110" s="9"/>
      <c r="F110" s="10"/>
      <c r="G110" s="11"/>
      <c r="H110" s="11"/>
      <c r="I110" s="12">
        <f t="shared" si="65"/>
        <v>0</v>
      </c>
      <c r="J110" s="12">
        <f t="shared" si="66"/>
        <v>0</v>
      </c>
      <c r="K110" s="12">
        <f t="shared" si="67"/>
        <v>0</v>
      </c>
      <c r="L110" s="12">
        <f t="shared" si="68"/>
        <v>0</v>
      </c>
      <c r="M110" s="12">
        <f t="shared" si="69"/>
        <v>0</v>
      </c>
      <c r="N110" s="59"/>
      <c r="O110" s="59"/>
      <c r="P110" s="59"/>
      <c r="Q110" s="59"/>
      <c r="R110" s="59"/>
      <c r="S110" s="59"/>
      <c r="T110" s="59"/>
      <c r="U110" s="59"/>
      <c r="V110" s="59"/>
      <c r="W110" s="59"/>
      <c r="X110" s="59"/>
      <c r="Y110" s="98"/>
    </row>
    <row r="111" spans="1:25" s="60" customFormat="1" ht="14.25" customHeight="1" x14ac:dyDescent="0.35">
      <c r="A111" s="1"/>
      <c r="B111" s="97" t="s">
        <v>99</v>
      </c>
      <c r="C111" s="9"/>
      <c r="D111" s="9"/>
      <c r="E111" s="9"/>
      <c r="F111" s="10"/>
      <c r="G111" s="11"/>
      <c r="H111" s="11"/>
      <c r="I111" s="12">
        <f t="shared" si="65"/>
        <v>0</v>
      </c>
      <c r="J111" s="12">
        <f t="shared" si="66"/>
        <v>0</v>
      </c>
      <c r="K111" s="12">
        <f t="shared" si="67"/>
        <v>0</v>
      </c>
      <c r="L111" s="12">
        <f t="shared" si="68"/>
        <v>0</v>
      </c>
      <c r="M111" s="12">
        <f t="shared" si="69"/>
        <v>0</v>
      </c>
      <c r="N111" s="59"/>
      <c r="O111" s="59"/>
      <c r="P111" s="59"/>
      <c r="Q111" s="59"/>
      <c r="R111" s="59"/>
      <c r="S111" s="59"/>
      <c r="T111" s="59"/>
      <c r="U111" s="59"/>
      <c r="V111" s="59"/>
      <c r="W111" s="59"/>
      <c r="X111" s="59"/>
      <c r="Y111" s="98"/>
    </row>
    <row r="112" spans="1:25" s="60" customFormat="1" ht="14.25" customHeight="1" x14ac:dyDescent="0.35">
      <c r="A112" s="1"/>
      <c r="B112" s="97" t="s">
        <v>100</v>
      </c>
      <c r="C112" s="9"/>
      <c r="D112" s="9"/>
      <c r="E112" s="9"/>
      <c r="F112" s="10"/>
      <c r="G112" s="11"/>
      <c r="H112" s="11"/>
      <c r="I112" s="12">
        <f t="shared" si="65"/>
        <v>0</v>
      </c>
      <c r="J112" s="12">
        <f t="shared" si="66"/>
        <v>0</v>
      </c>
      <c r="K112" s="12">
        <f t="shared" si="67"/>
        <v>0</v>
      </c>
      <c r="L112" s="12">
        <f t="shared" si="68"/>
        <v>0</v>
      </c>
      <c r="M112" s="12">
        <f t="shared" si="69"/>
        <v>0</v>
      </c>
      <c r="N112" s="59"/>
      <c r="O112" s="59"/>
      <c r="P112" s="59"/>
      <c r="Q112" s="59"/>
      <c r="R112" s="59"/>
      <c r="S112" s="59"/>
      <c r="T112" s="59"/>
      <c r="U112" s="59"/>
      <c r="V112" s="59"/>
      <c r="W112" s="59"/>
      <c r="X112" s="59"/>
      <c r="Y112" s="98"/>
    </row>
    <row r="113" spans="1:25" s="60" customFormat="1" ht="14.25" customHeight="1" x14ac:dyDescent="0.35">
      <c r="A113" s="1"/>
      <c r="B113" s="97" t="s">
        <v>132</v>
      </c>
      <c r="C113" s="9"/>
      <c r="D113" s="9"/>
      <c r="E113" s="9"/>
      <c r="F113" s="10"/>
      <c r="G113" s="11"/>
      <c r="H113" s="11"/>
      <c r="I113" s="12">
        <f t="shared" si="65"/>
        <v>0</v>
      </c>
      <c r="J113" s="12">
        <f t="shared" si="66"/>
        <v>0</v>
      </c>
      <c r="K113" s="12">
        <f t="shared" si="67"/>
        <v>0</v>
      </c>
      <c r="L113" s="12">
        <f t="shared" si="68"/>
        <v>0</v>
      </c>
      <c r="M113" s="12">
        <f t="shared" si="69"/>
        <v>0</v>
      </c>
      <c r="N113" s="59"/>
      <c r="O113" s="59"/>
      <c r="P113" s="59"/>
      <c r="Q113" s="59"/>
      <c r="R113" s="59"/>
      <c r="S113" s="59"/>
      <c r="T113" s="59"/>
      <c r="U113" s="59"/>
      <c r="V113" s="59"/>
      <c r="W113" s="59"/>
      <c r="X113" s="59"/>
      <c r="Y113" s="98"/>
    </row>
    <row r="114" spans="1:25" s="60" customFormat="1" ht="14.25" customHeight="1" x14ac:dyDescent="0.35">
      <c r="A114" s="1"/>
      <c r="B114" s="97" t="s">
        <v>133</v>
      </c>
      <c r="C114" s="9"/>
      <c r="D114" s="9"/>
      <c r="E114" s="9"/>
      <c r="F114" s="10"/>
      <c r="G114" s="11"/>
      <c r="H114" s="11"/>
      <c r="I114" s="12">
        <f t="shared" si="65"/>
        <v>0</v>
      </c>
      <c r="J114" s="12">
        <f t="shared" si="66"/>
        <v>0</v>
      </c>
      <c r="K114" s="12">
        <f t="shared" si="67"/>
        <v>0</v>
      </c>
      <c r="L114" s="12">
        <f t="shared" si="68"/>
        <v>0</v>
      </c>
      <c r="M114" s="12">
        <f t="shared" si="69"/>
        <v>0</v>
      </c>
      <c r="N114" s="59"/>
      <c r="O114" s="59"/>
      <c r="P114" s="59"/>
      <c r="Q114" s="59"/>
      <c r="R114" s="59"/>
      <c r="S114" s="59"/>
      <c r="T114" s="59"/>
      <c r="U114" s="59"/>
      <c r="V114" s="59"/>
      <c r="W114" s="59"/>
      <c r="X114" s="59"/>
      <c r="Y114" s="98"/>
    </row>
    <row r="115" spans="1:25" s="18" customFormat="1" ht="15.5" x14ac:dyDescent="0.35">
      <c r="A115" s="1"/>
      <c r="B115" s="154" t="s">
        <v>113</v>
      </c>
      <c r="C115" s="212"/>
      <c r="D115" s="213"/>
      <c r="E115" s="31"/>
      <c r="F115" s="32"/>
      <c r="G115" s="33"/>
      <c r="H115" s="33">
        <f>SUMIF($E$38:$E$49:$E$51:$E$62:$E$64:$E$75:$E$77:$E$88:$E$90:$E$101:$E$103:$E$114,"QA",H$38:H$49:H$51:H$62:H$64:H$75:H$77:H$88:H$90:H$101:H$103:H$114)</f>
        <v>2</v>
      </c>
      <c r="I115" s="33">
        <f>SUMIF($E$38:$E$49:$E$51:$E$62:$E$64:$E$75:$E$77:$E$88:$E$90:$E$101:$E$103:$E$114,"QA",I$38:I$49:I$51:I$62:I$64:I$75:I$77:I$88:I$90:I$101:I$103:I$114)</f>
        <v>13752</v>
      </c>
      <c r="J115" s="33">
        <f>SUMIF($E$38:$E$49:$E$51:$E$62:$E$64:$E$75:$E$77:$E$88:$E$90:$E$101:$E$103:$E$114,"QA",J$38:J$49:J$51:J$62:J$64:J$75:J$77:J$88:J$90:J$101:J$103:J$114)</f>
        <v>997.02</v>
      </c>
      <c r="K115" s="33">
        <f>SUMIF($E$38:$E$49:$E$51:$E$62:$E$64:$E$75:$E$77:$E$88:$E$90:$E$101:$E$103:$E$114,"QA",K$38:K$49:K$51:K$62:K$64:K$75:K$77:K$88:K$90:K$101:K$103:K$114)</f>
        <v>737.45100000000002</v>
      </c>
      <c r="L115" s="33">
        <f>SUMIF($E$38:$E$49:$E$51:$E$62:$E$64:$E$75:$E$77:$E$88:$E$90:$E$101:$E$103:$E$114,"QA",L$38:L$49:L$51:L$62:L$64:L$75:L$77:L$88:L$90:L$101:L$103:L$114)</f>
        <v>15486.471</v>
      </c>
      <c r="M115" s="33">
        <f>SUMIF($E$38:$E$49:$E$51:$E$62:$E$64:$E$75:$E$77:$E$88:$E$90:$E$101:$E$103:$E$114,"QA",M$38:M$49:M$51:M$62:M$64:M$75:M$77:M$88:M$90:M$101:M$103:M$114)</f>
        <v>15486.471</v>
      </c>
      <c r="N115" s="33">
        <f>SUMIF($E$38:$E$49:$E$51:$E$62:$E$64:$E$75:$E$77:$E$88:$E$90:$E$101:$E$103:$E$114,"QA",N$38:N$49:N$51:N$62:N$64:N$75:N$77:N$88:N$90:N$101:N$103:N$114)</f>
        <v>15486.471</v>
      </c>
      <c r="O115" s="33">
        <f>SUMIF($E$38:$E$49:$E$51:$E$62:$E$64:$E$75:$E$77:$E$88:$E$90:$E$101:$E$103:$E$114,"QA",O$38:O$49:O$51:O$62:O$64:O$75:O$77:O$88:O$90:O$101:O$103:O$114)</f>
        <v>0</v>
      </c>
      <c r="P115" s="33">
        <f>SUMIF($E$38:$E$49:$E$51:$E$62:$E$64:$E$75:$E$77:$E$88:$E$90:$E$101:$E$103:$E$114,"QA",P$38:P$49:P$51:P$62:P$64:P$75:P$77:P$88:P$90:P$101:P$103:P$114)</f>
        <v>0</v>
      </c>
      <c r="Q115" s="33">
        <f>SUMIF($E$38:$E$49:$E$51:$E$62:$E$64:$E$75:$E$77:$E$88:$E$90:$E$101:$E$103:$E$114,"QA",Q$38:Q$49:Q$51:Q$62:Q$64:Q$75:Q$77:Q$88:Q$90:Q$101:Q$103:Q$114)</f>
        <v>0</v>
      </c>
      <c r="R115" s="33">
        <f>SUMIF($E$38:$E$49:$E$51:$E$62:$E$64:$E$75:$E$77:$E$88:$E$90:$E$101:$E$103:$E$114,"QA",R$38:R$49:R$51:R$62:R$64:R$75:R$77:R$88:R$90:R$101:R$103:R$114)</f>
        <v>0</v>
      </c>
      <c r="S115" s="33">
        <f>SUMIF($E$38:$E$49:$E$51:$E$62:$E$64:$E$75:$E$77:$E$88:$E$90:$E$101:$E$103:$E$114,"QA",S$38:S$49:S$51:S$62:S$64:S$75:S$77:S$88:S$90:S$101:S$103:S$114)</f>
        <v>0</v>
      </c>
      <c r="T115" s="33">
        <f>SUMIF($E$38:$E$49:$E$51:$E$62:$E$64:$E$75:$E$77:$E$88:$E$90:$E$101:$E$103:$E$114,"QA",T$38:T$49:T$51:T$62:T$64:T$75:T$77:T$88:T$90:T$101:T$103:T$114)</f>
        <v>0</v>
      </c>
      <c r="U115" s="33">
        <f>SUMIF($E$38:$E$49:$E$51:$E$62:$E$64:$E$75:$E$77:$E$88:$E$90:$E$101:$E$103:$E$114,"QA",U$38:U$49:U$51:U$62:U$64:U$75:U$77:U$88:U$90:U$101:U$103:U$114)</f>
        <v>0</v>
      </c>
      <c r="V115" s="33">
        <f>SUMIF($E$38:$E$49:$E$51:$E$62:$E$64:$E$75:$E$77:$E$88:$E$90:$E$101:$E$103:$E$114,"QA",V$38:V$49:V$51:V$62:V$64:V$75:V$77:V$88:V$90:V$101:V$103:V$114)</f>
        <v>0</v>
      </c>
      <c r="W115" s="33">
        <f>SUMIF($E$38:$E$49:$E$51:$E$62:$E$64:$E$75:$E$77:$E$88:$E$90:$E$101:$E$103:$E$114,"QA",W$38:W$49:W$51:W$62:W$64:W$75:W$77:W$88:W$90:W$101:W$103:W$114)</f>
        <v>0</v>
      </c>
      <c r="X115" s="33">
        <f>SUMIF($E$38:$E$49:$E$51:$E$62:$E$64:$E$75:$E$77:$E$88:$E$90:$E$101:$E$103:$E$114,"QA",X$38:X$49:X$51:X$62:X$64:X$75:X$77:X$88:X$90:X$101:X$103:X$114)</f>
        <v>0</v>
      </c>
      <c r="Y115" s="99">
        <f>SUMIF($E$38:$E$49:$E$51:$E$62:$E$64:$E$75:$E$77:$E$88:$E$90:$E$101:$E$103:$E$114,"QA",Y$38:Y$49:Y$51:Y$62:Y$64:Y$75:Y$77:Y$88:Y$90:Y$101:Y$103:Y$114)</f>
        <v>0</v>
      </c>
    </row>
    <row r="116" spans="1:25" s="18" customFormat="1" ht="15.5" x14ac:dyDescent="0.35">
      <c r="A116" s="1"/>
      <c r="B116" s="157" t="s">
        <v>117</v>
      </c>
      <c r="C116" s="216"/>
      <c r="D116" s="217"/>
      <c r="E116" s="34"/>
      <c r="F116" s="35"/>
      <c r="G116" s="36"/>
      <c r="H116" s="36">
        <f>SUMIF($E$38:$E$49:$E$51:$E$62:$E$64:$E$75:$E$77:$E$88:$E$90:$E$101:$E$103:$E$114,"PIP",H$38:H$49:H$51:H$62:H$64:H$75:H$77:H$88:H$90:H$101:H$103:H$114)</f>
        <v>2</v>
      </c>
      <c r="I116" s="36">
        <f>SUMIF($E$38:$E$49:$E$51:$E$62:$E$64:$E$75:$E$77:$E$88:$E$90:$E$101:$E$103:$E$114,"PIP",I$38:I$49:I$51:I$62:I$64:I$75:I$77:I$88:I$90:I$101:I$103:I$114)</f>
        <v>8002</v>
      </c>
      <c r="J116" s="36">
        <f>SUMIF($E$38:$E$49:$E$51:$E$62:$E$64:$E$75:$E$77:$E$88:$E$90:$E$101:$E$103:$E$114,"PIP",J$38:J$49:J$51:J$62:J$64:J$75:J$77:J$88:J$90:J$101:J$103:J$114)</f>
        <v>580.14499999999998</v>
      </c>
      <c r="K116" s="36">
        <f>SUMIF($E$38:$E$49:$E$51:$E$62:$E$64:$E$75:$E$77:$E$88:$E$90:$E$101:$E$103:$E$114,"PIP",K$38:K$49:K$51:K$62:K$64:K$75:K$77:K$88:K$90:K$101:K$103:K$114)</f>
        <v>429.10725000000008</v>
      </c>
      <c r="L116" s="36">
        <f>SUMIF($E$38:$E$49:$E$51:$E$62:$E$64:$E$75:$E$77:$E$88:$E$90:$E$101:$E$103:$E$114,"PIP",L$38:L$49:L$51:L$62:L$64:L$75:L$77:L$88:L$90:L$101:L$103:L$114)</f>
        <v>9011.2522500000014</v>
      </c>
      <c r="M116" s="36">
        <f>SUMIF($E$38:$E$49:$E$51:$E$62:$E$64:$E$75:$E$77:$E$88:$E$90:$E$101:$E$103:$E$114,"PIP",M$38:M$49:M$51:M$62:M$64:M$75:M$77:M$88:M$90:M$101:M$103:M$114)</f>
        <v>9011.2522500000014</v>
      </c>
      <c r="N116" s="36">
        <f>SUMIF($E$38:$E$49:$E$51:$E$62:$E$64:$E$75:$E$77:$E$88:$E$90:$E$101:$E$103:$E$114,"PIP",N$38:N$49:N$51:N$62:N$64:N$75:N$77:N$88:N$90:N$101:N$103:N$114)</f>
        <v>9011.2522500000014</v>
      </c>
      <c r="O116" s="36">
        <f>SUMIF($E$38:$E$49:$E$51:$E$62:$E$64:$E$75:$E$77:$E$88:$E$90:$E$101:$E$103:$E$114,"PIP",O$38:O$49:O$51:O$62:O$64:O$75:O$77:O$88:O$90:O$101:O$103:O$114)</f>
        <v>0</v>
      </c>
      <c r="P116" s="36">
        <f>SUMIF($E$38:$E$49:$E$51:$E$62:$E$64:$E$75:$E$77:$E$88:$E$90:$E$101:$E$103:$E$114,"PIP",P$38:P$49:P$51:P$62:P$64:P$75:P$77:P$88:P$90:P$101:P$103:P$114)</f>
        <v>0</v>
      </c>
      <c r="Q116" s="36">
        <f>SUMIF($E$38:$E$49:$E$51:$E$62:$E$64:$E$75:$E$77:$E$88:$E$90:$E$101:$E$103:$E$114,"PIP",Q$38:Q$49:Q$51:Q$62:Q$64:Q$75:Q$77:Q$88:Q$90:Q$101:Q$103:Q$114)</f>
        <v>0</v>
      </c>
      <c r="R116" s="36">
        <f>SUMIF($E$38:$E$49:$E$51:$E$62:$E$64:$E$75:$E$77:$E$88:$E$90:$E$101:$E$103:$E$114,"PIP",R$38:R$49:R$51:R$62:R$64:R$75:R$77:R$88:R$90:R$101:R$103:R$114)</f>
        <v>0</v>
      </c>
      <c r="S116" s="36">
        <f>SUMIF($E$38:$E$49:$E$51:$E$62:$E$64:$E$75:$E$77:$E$88:$E$90:$E$101:$E$103:$E$114,"PIP",S$38:S$49:S$51:S$62:S$64:S$75:S$77:S$88:S$90:S$101:S$103:S$114)</f>
        <v>0</v>
      </c>
      <c r="T116" s="36">
        <f>SUMIF($E$38:$E$49:$E$51:$E$62:$E$64:$E$75:$E$77:$E$88:$E$90:$E$101:$E$103:$E$114,"PIP",T$38:T$49:T$51:T$62:T$64:T$75:T$77:T$88:T$90:T$101:T$103:T$114)</f>
        <v>0</v>
      </c>
      <c r="U116" s="36">
        <f>SUMIF($E$38:$E$49:$E$51:$E$62:$E$64:$E$75:$E$77:$E$88:$E$90:$E$101:$E$103:$E$114,"PIP",U$38:U$49:U$51:U$62:U$64:U$75:U$77:U$88:U$90:U$101:U$103:U$114)</f>
        <v>0</v>
      </c>
      <c r="V116" s="36">
        <f>SUMIF($E$38:$E$49:$E$51:$E$62:$E$64:$E$75:$E$77:$E$88:$E$90:$E$101:$E$103:$E$114,"PIP",V$38:V$49:V$51:V$62:V$64:V$75:V$77:V$88:V$90:V$101:V$103:V$114)</f>
        <v>0</v>
      </c>
      <c r="W116" s="36">
        <f>SUMIF($E$38:$E$49:$E$51:$E$62:$E$64:$E$75:$E$77:$E$88:$E$90:$E$101:$E$103:$E$114,"PIP",W$38:W$49:W$51:W$62:W$64:W$75:W$77:W$88:W$90:W$101:W$103:W$114)</f>
        <v>0</v>
      </c>
      <c r="X116" s="36">
        <f>SUMIF($E$38:$E$49:$E$51:$E$62:$E$64:$E$75:$E$77:$E$88:$E$90:$E$101:$E$103:$E$114,"PIP",X$38:X$49:X$51:X$62:X$64:X$75:X$77:X$88:X$90:X$101:X$103:X$114)</f>
        <v>0</v>
      </c>
      <c r="Y116" s="100">
        <f>SUMIF($E$38:$E$49:$E$51:$E$62:$E$64:$E$75:$E$77:$E$88:$E$90:$E$101:$E$103:$E$114,"PIP",Y$38:Y$49:Y$51:Y$62:Y$64:Y$75:Y$77:Y$88:Y$90:Y$101:Y$103:Y$114)</f>
        <v>0</v>
      </c>
    </row>
    <row r="117" spans="1:25" s="18" customFormat="1" ht="15.5" x14ac:dyDescent="0.35">
      <c r="A117" s="1"/>
      <c r="B117" s="145" t="s">
        <v>114</v>
      </c>
      <c r="C117" s="218"/>
      <c r="D117" s="219"/>
      <c r="E117" s="37"/>
      <c r="F117" s="38"/>
      <c r="G117" s="39"/>
      <c r="H117" s="39">
        <f>SUMIF($E$38:$E$49:$E$51:$E$62:$E$64:$E$75:$E$77:$E$88:$E$90:$E$101:$E$103:$E$114,"PCA",H$38:H$49:H$51:H$62:H$64:H$75:H$77:H$88:H$90:H$101:H$103:H$114)</f>
        <v>1</v>
      </c>
      <c r="I117" s="39">
        <f>SUMIF($E$38:$E$49:$E$51:$E$62:$E$64:$E$75:$E$77:$E$88:$E$90:$E$101:$E$103:$E$114,"PCA",I$38:I$49:I$51:I$62:I$64:I$75:I$77:I$88:I$90:I$101:I$103:I$114)</f>
        <v>601</v>
      </c>
      <c r="J117" s="39">
        <f>SUMIF($E$38:$E$49:$E$51:$E$62:$E$64:$E$75:$E$77:$E$88:$E$90:$E$101:$E$103:$E$114,"PCA",J$38:J$49:J$51:J$62:J$64:J$75:J$77:J$88:J$90:J$101:J$103:J$114)</f>
        <v>43.572499999999998</v>
      </c>
      <c r="K117" s="39">
        <f>SUMIF($E$38:$E$49:$E$51:$E$62:$E$64:$E$75:$E$77:$E$88:$E$90:$E$101:$E$103:$E$114,"PCA",K$38:K$49:K$51:K$62:K$64:K$75:K$77:K$88:K$90:K$101:K$103:K$114)</f>
        <v>32.228625000000001</v>
      </c>
      <c r="L117" s="39">
        <f>SUMIF($E$38:$E$49:$E$51:$E$62:$E$64:$E$75:$E$77:$E$88:$E$90:$E$101:$E$103:$E$114,"PCA",L$38:L$49:L$51:L$62:L$64:L$75:L$77:L$88:L$90:L$101:L$103:L$114)</f>
        <v>676.80112499999996</v>
      </c>
      <c r="M117" s="39">
        <f>SUMIF($E$38:$E$49:$E$51:$E$62:$E$64:$E$75:$E$77:$E$88:$E$90:$E$101:$E$103:$E$114,"PCA",M$38:M$49:M$51:M$62:M$64:M$75:M$77:M$88:M$90:M$101:M$103:M$114)</f>
        <v>676.80112499999996</v>
      </c>
      <c r="N117" s="39">
        <f>SUMIF($E$38:$E$49:$E$51:$E$62:$E$64:$E$75:$E$77:$E$88:$E$90:$E$101:$E$103:$E$114,"PCA",N$38:N$49:N$51:N$62:N$64:N$75:N$77:N$88:N$90:N$101:N$103:N$114)</f>
        <v>676.80112499999996</v>
      </c>
      <c r="O117" s="39">
        <f>SUMIF($E$38:$E$49:$E$51:$E$62:$E$64:$E$75:$E$77:$E$88:$E$90:$E$101:$E$103:$E$114,"PCA",O$38:O$49:O$51:O$62:O$64:O$75:O$77:O$88:O$90:O$101:O$103:O$114)</f>
        <v>0</v>
      </c>
      <c r="P117" s="39">
        <f>SUMIF($E$38:$E$49:$E$51:$E$62:$E$64:$E$75:$E$77:$E$88:$E$90:$E$101:$E$103:$E$114,"PCA",P$38:P$49:P$51:P$62:P$64:P$75:P$77:P$88:P$90:P$101:P$103:P$114)</f>
        <v>0</v>
      </c>
      <c r="Q117" s="39">
        <f>SUMIF($E$38:$E$49:$E$51:$E$62:$E$64:$E$75:$E$77:$E$88:$E$90:$E$101:$E$103:$E$114,"PCA",Q$38:Q$49:Q$51:Q$62:Q$64:Q$75:Q$77:Q$88:Q$90:Q$101:Q$103:Q$114)</f>
        <v>0</v>
      </c>
      <c r="R117" s="39">
        <f>SUMIF($E$38:$E$49:$E$51:$E$62:$E$64:$E$75:$E$77:$E$88:$E$90:$E$101:$E$103:$E$114,"PCA",R$38:R$49:R$51:R$62:R$64:R$75:R$77:R$88:R$90:R$101:R$103:R$114)</f>
        <v>0</v>
      </c>
      <c r="S117" s="39">
        <f>SUMIF($E$38:$E$49:$E$51:$E$62:$E$64:$E$75:$E$77:$E$88:$E$90:$E$101:$E$103:$E$114,"PCA",S$38:S$49:S$51:S$62:S$64:S$75:S$77:S$88:S$90:S$101:S$103:S$114)</f>
        <v>0</v>
      </c>
      <c r="T117" s="39">
        <f>SUMIF($E$38:$E$49:$E$51:$E$62:$E$64:$E$75:$E$77:$E$88:$E$90:$E$101:$E$103:$E$114,"PCA",T$38:T$49:T$51:T$62:T$64:T$75:T$77:T$88:T$90:T$101:T$103:T$114)</f>
        <v>0</v>
      </c>
      <c r="U117" s="39">
        <f>SUMIF($E$38:$E$49:$E$51:$E$62:$E$64:$E$75:$E$77:$E$88:$E$90:$E$101:$E$103:$E$114,"PCA",U$38:U$49:U$51:U$62:U$64:U$75:U$77:U$88:U$90:U$101:U$103:U$114)</f>
        <v>0</v>
      </c>
      <c r="V117" s="39">
        <f>SUMIF($E$38:$E$49:$E$51:$E$62:$E$64:$E$75:$E$77:$E$88:$E$90:$E$101:$E$103:$E$114,"PCA",V$38:V$49:V$51:V$62:V$64:V$75:V$77:V$88:V$90:V$101:V$103:V$114)</f>
        <v>0</v>
      </c>
      <c r="W117" s="39">
        <f>SUMIF($E$38:$E$49:$E$51:$E$62:$E$64:$E$75:$E$77:$E$88:$E$90:$E$101:$E$103:$E$114,"PCA",W$38:W$49:W$51:W$62:W$64:W$75:W$77:W$88:W$90:W$101:W$103:W$114)</f>
        <v>0</v>
      </c>
      <c r="X117" s="39">
        <f>SUMIF($E$38:$E$49:$E$51:$E$62:$E$64:$E$75:$E$77:$E$88:$E$90:$E$101:$E$103:$E$114,"PCA",X$38:X$49:X$51:X$62:X$64:X$75:X$77:X$88:X$90:X$101:X$103:X$114)</f>
        <v>0</v>
      </c>
      <c r="Y117" s="101">
        <f>SUMIF($E$38:$E$49:$E$51:$E$62:$E$64:$E$75:$E$77:$E$88:$E$90:$E$101:$E$103:$E$114,"PCA",Y$38:Y$49:Y$51:Y$62:Y$64:Y$75:Y$77:Y$88:Y$90:Y$101:Y$103:Y$114)</f>
        <v>0</v>
      </c>
    </row>
    <row r="118" spans="1:25" s="18" customFormat="1" ht="15.5" x14ac:dyDescent="0.35">
      <c r="A118" s="1"/>
      <c r="B118" s="148" t="s">
        <v>115</v>
      </c>
      <c r="C118" s="203"/>
      <c r="D118" s="204"/>
      <c r="E118" s="40"/>
      <c r="F118" s="41"/>
      <c r="G118" s="42"/>
      <c r="H118" s="42">
        <f>SUMIF($E$38:$E$49:$E$51:$E$62:$E$64:$E$75:$E$77:$E$88:$E$90:$E$101:$E$103:$E$114,"Other",H$38:H$49:H$51:H$62:H$64:H$75:H$77:H$88:H$90:H$101:H$103:H$114)</f>
        <v>1</v>
      </c>
      <c r="I118" s="42">
        <f>SUMIF($E$38:$E$49:$E$51:$E$62:$E$64:$E$75:$E$77:$E$88:$E$90:$E$101:$E$103:$E$114,"Other",I$38:I$49:I$51:I$62:I$64:I$75:I$77:I$88:I$90:I$101:I$103:I$114)</f>
        <v>6001</v>
      </c>
      <c r="J118" s="42">
        <f>SUMIF($E$38:$E$49:$E$51:$E$62:$E$64:$E$75:$E$77:$E$88:$E$90:$E$101:$E$103:$E$114,"Other",J$38:J$49:J$51:J$62:J$64:J$75:J$77:J$88:J$90:J$101:J$103:J$114)</f>
        <v>435.07249999999999</v>
      </c>
      <c r="K118" s="42">
        <f>SUMIF($E$38:$E$49:$E$51:$E$62:$E$64:$E$75:$E$77:$E$88:$E$90:$E$101:$E$103:$E$114,"Other",K$38:K$49:K$51:K$62:K$64:K$75:K$77:K$88:K$90:K$101:K$103:K$114)</f>
        <v>321.80362500000001</v>
      </c>
      <c r="L118" s="42">
        <f>SUMIF($E$38:$E$49:$E$51:$E$62:$E$64:$E$75:$E$77:$E$88:$E$90:$E$101:$E$103:$E$114,"Other",L$38:L$49:L$51:L$62:L$64:L$75:L$77:L$88:L$90:L$101:L$103:L$114)</f>
        <v>6757.8761250000007</v>
      </c>
      <c r="M118" s="42">
        <f>SUMIF($E$38:$E$49:$E$51:$E$62:$E$64:$E$75:$E$77:$E$88:$E$90:$E$101:$E$103:$E$114,"Other",M$38:M$49:M$51:M$62:M$64:M$75:M$77:M$88:M$90:M$101:M$103:M$114)</f>
        <v>6757.8761250000007</v>
      </c>
      <c r="N118" s="42">
        <f>SUMIF($E$38:$E$49:$E$51:$E$62:$E$64:$E$75:$E$77:$E$88:$E$90:$E$101:$E$103:$E$114,"Other",N$38:N$49:N$51:N$62:N$64:N$75:N$77:N$88:N$90:N$101:N$103:N$114)</f>
        <v>6757.8761250000007</v>
      </c>
      <c r="O118" s="42">
        <f>SUMIF($E$38:$E$49:$E$51:$E$62:$E$64:$E$75:$E$77:$E$88:$E$90:$E$101:$E$103:$E$114,"Other",O$38:O$49:O$51:O$62:O$64:O$75:O$77:O$88:O$90:O$101:O$103:O$114)</f>
        <v>0</v>
      </c>
      <c r="P118" s="42">
        <f>SUMIF($E$38:$E$49:$E$51:$E$62:$E$64:$E$75:$E$77:$E$88:$E$90:$E$101:$E$103:$E$114,"Other",P$38:P$49:P$51:P$62:P$64:P$75:P$77:P$88:P$90:P$101:P$103:P$114)</f>
        <v>0</v>
      </c>
      <c r="Q118" s="42">
        <f>SUMIF($E$38:$E$49:$E$51:$E$62:$E$64:$E$75:$E$77:$E$88:$E$90:$E$101:$E$103:$E$114,"Other",Q$38:Q$49:Q$51:Q$62:Q$64:Q$75:Q$77:Q$88:Q$90:Q$101:Q$103:Q$114)</f>
        <v>0</v>
      </c>
      <c r="R118" s="42">
        <f>SUMIF($E$38:$E$49:$E$51:$E$62:$E$64:$E$75:$E$77:$E$88:$E$90:$E$101:$E$103:$E$114,"Other",R$38:R$49:R$51:R$62:R$64:R$75:R$77:R$88:R$90:R$101:R$103:R$114)</f>
        <v>0</v>
      </c>
      <c r="S118" s="42">
        <f>SUMIF($E$38:$E$49:$E$51:$E$62:$E$64:$E$75:$E$77:$E$88:$E$90:$E$101:$E$103:$E$114,"Other",S$38:S$49:S$51:S$62:S$64:S$75:S$77:S$88:S$90:S$101:S$103:S$114)</f>
        <v>0</v>
      </c>
      <c r="T118" s="42">
        <f>SUMIF($E$38:$E$49:$E$51:$E$62:$E$64:$E$75:$E$77:$E$88:$E$90:$E$101:$E$103:$E$114,"Other",T$38:T$49:T$51:T$62:T$64:T$75:T$77:T$88:T$90:T$101:T$103:T$114)</f>
        <v>0</v>
      </c>
      <c r="U118" s="42">
        <f>SUMIF($E$38:$E$49:$E$51:$E$62:$E$64:$E$75:$E$77:$E$88:$E$90:$E$101:$E$103:$E$114,"Other",U$38:U$49:U$51:U$62:U$64:U$75:U$77:U$88:U$90:U$101:U$103:U$114)</f>
        <v>0</v>
      </c>
      <c r="V118" s="42">
        <f>SUMIF($E$38:$E$49:$E$51:$E$62:$E$64:$E$75:$E$77:$E$88:$E$90:$E$101:$E$103:$E$114,"Other",V$38:V$49:V$51:V$62:V$64:V$75:V$77:V$88:V$90:V$101:V$103:V$114)</f>
        <v>0</v>
      </c>
      <c r="W118" s="42">
        <f>SUMIF($E$38:$E$49:$E$51:$E$62:$E$64:$E$75:$E$77:$E$88:$E$90:$E$101:$E$103:$E$114,"Other",W$38:W$49:W$51:W$62:W$64:W$75:W$77:W$88:W$90:W$101:W$103:W$114)</f>
        <v>0</v>
      </c>
      <c r="X118" s="42">
        <f>SUMIF($E$38:$E$49:$E$51:$E$62:$E$64:$E$75:$E$77:$E$88:$E$90:$E$101:$E$103:$E$114,"Other",X$38:X$49:X$51:X$62:X$64:X$75:X$77:X$88:X$90:X$101:X$103:X$114)</f>
        <v>0</v>
      </c>
      <c r="Y118" s="102">
        <f>SUMIF($E$38:$E$49:$E$51:$E$62:$E$64:$E$75:$E$77:$E$88:$E$90:$E$101:$E$103:$E$114,"Other",Y$38:Y$49:Y$51:Y$62:Y$64:Y$75:Y$77:Y$88:Y$90:Y$101:Y$103:Y$114)</f>
        <v>0</v>
      </c>
    </row>
    <row r="119" spans="1:25" s="18" customFormat="1" ht="15.5" x14ac:dyDescent="0.35">
      <c r="A119" s="1"/>
      <c r="B119" s="151" t="s">
        <v>116</v>
      </c>
      <c r="C119" s="214"/>
      <c r="D119" s="215"/>
      <c r="E119" s="13"/>
      <c r="F119" s="14"/>
      <c r="G119" s="15"/>
      <c r="H119" s="15">
        <f t="shared" ref="H119:Y119" si="75">H37+H50+H63+H76+H89+H102</f>
        <v>6</v>
      </c>
      <c r="I119" s="15">
        <f t="shared" si="75"/>
        <v>28356</v>
      </c>
      <c r="J119" s="15">
        <f t="shared" si="75"/>
        <v>2055.81</v>
      </c>
      <c r="K119" s="15">
        <f t="shared" si="75"/>
        <v>1520.5905</v>
      </c>
      <c r="L119" s="15">
        <f t="shared" si="75"/>
        <v>31932.400499999996</v>
      </c>
      <c r="M119" s="15">
        <f t="shared" si="75"/>
        <v>31932.400499999996</v>
      </c>
      <c r="N119" s="15">
        <f t="shared" si="75"/>
        <v>31932.400499999996</v>
      </c>
      <c r="O119" s="15">
        <f t="shared" si="75"/>
        <v>0</v>
      </c>
      <c r="P119" s="15">
        <f t="shared" si="75"/>
        <v>0</v>
      </c>
      <c r="Q119" s="15">
        <f t="shared" si="75"/>
        <v>0</v>
      </c>
      <c r="R119" s="15">
        <f t="shared" si="75"/>
        <v>0</v>
      </c>
      <c r="S119" s="15">
        <f t="shared" si="75"/>
        <v>0</v>
      </c>
      <c r="T119" s="15">
        <f t="shared" si="75"/>
        <v>0</v>
      </c>
      <c r="U119" s="15">
        <f t="shared" si="75"/>
        <v>0</v>
      </c>
      <c r="V119" s="15">
        <f t="shared" si="75"/>
        <v>0</v>
      </c>
      <c r="W119" s="15">
        <f t="shared" si="75"/>
        <v>0</v>
      </c>
      <c r="X119" s="15">
        <f t="shared" si="75"/>
        <v>0</v>
      </c>
      <c r="Y119" s="103">
        <f t="shared" si="75"/>
        <v>0</v>
      </c>
    </row>
    <row r="120" spans="1:25" s="18" customFormat="1" ht="15.5" x14ac:dyDescent="0.35">
      <c r="A120" s="1"/>
      <c r="B120" s="104" t="s">
        <v>104</v>
      </c>
      <c r="C120" s="43"/>
      <c r="D120" s="44" t="s">
        <v>134</v>
      </c>
      <c r="E120" s="45">
        <v>0.1</v>
      </c>
      <c r="F120" s="208" t="str">
        <f>IF(D120="Method - $ per Key","Per Key",IF(D19="Method - $ Allowance","Total",""))</f>
        <v/>
      </c>
      <c r="G120" s="209"/>
      <c r="H120" s="46" t="s">
        <v>9</v>
      </c>
      <c r="I120" s="205"/>
      <c r="J120" s="206"/>
      <c r="K120" s="207"/>
      <c r="L120" s="47">
        <f>$E$120*L119</f>
        <v>3193.2400499999999</v>
      </c>
      <c r="M120" s="47">
        <f t="shared" ref="M120:Y120" si="76">$E$120*M119</f>
        <v>3193.2400499999999</v>
      </c>
      <c r="N120" s="63">
        <f t="shared" si="76"/>
        <v>3193.2400499999999</v>
      </c>
      <c r="O120" s="63">
        <f t="shared" si="76"/>
        <v>0</v>
      </c>
      <c r="P120" s="63">
        <f t="shared" si="76"/>
        <v>0</v>
      </c>
      <c r="Q120" s="63">
        <f t="shared" si="76"/>
        <v>0</v>
      </c>
      <c r="R120" s="63">
        <f t="shared" si="76"/>
        <v>0</v>
      </c>
      <c r="S120" s="63">
        <f t="shared" si="76"/>
        <v>0</v>
      </c>
      <c r="T120" s="63">
        <f t="shared" si="76"/>
        <v>0</v>
      </c>
      <c r="U120" s="63">
        <f t="shared" si="76"/>
        <v>0</v>
      </c>
      <c r="V120" s="63">
        <f t="shared" si="76"/>
        <v>0</v>
      </c>
      <c r="W120" s="63">
        <f t="shared" si="76"/>
        <v>0</v>
      </c>
      <c r="X120" s="63">
        <f t="shared" si="76"/>
        <v>0</v>
      </c>
      <c r="Y120" s="109">
        <f t="shared" si="76"/>
        <v>0</v>
      </c>
    </row>
    <row r="121" spans="1:25" s="18" customFormat="1" ht="16" thickBot="1" x14ac:dyDescent="0.4">
      <c r="A121" s="1"/>
      <c r="B121" s="142" t="s">
        <v>109</v>
      </c>
      <c r="C121" s="143"/>
      <c r="D121" s="144"/>
      <c r="E121" s="106"/>
      <c r="F121" s="210"/>
      <c r="G121" s="211"/>
      <c r="H121" s="16">
        <f>H119</f>
        <v>6</v>
      </c>
      <c r="I121" s="107">
        <f>I119</f>
        <v>28356</v>
      </c>
      <c r="J121" s="107">
        <f>J119</f>
        <v>2055.81</v>
      </c>
      <c r="K121" s="107">
        <f>K119</f>
        <v>1520.5905</v>
      </c>
      <c r="L121" s="107">
        <f>SUM(L119:L120)</f>
        <v>35125.640549999996</v>
      </c>
      <c r="M121" s="107">
        <f t="shared" ref="M121:Y121" si="77">SUM(M119:M120)</f>
        <v>35125.640549999996</v>
      </c>
      <c r="N121" s="16">
        <f t="shared" si="77"/>
        <v>35125.640549999996</v>
      </c>
      <c r="O121" s="16">
        <f t="shared" si="77"/>
        <v>0</v>
      </c>
      <c r="P121" s="16">
        <f t="shared" si="77"/>
        <v>0</v>
      </c>
      <c r="Q121" s="16">
        <f t="shared" si="77"/>
        <v>0</v>
      </c>
      <c r="R121" s="16">
        <f t="shared" si="77"/>
        <v>0</v>
      </c>
      <c r="S121" s="16">
        <f t="shared" si="77"/>
        <v>0</v>
      </c>
      <c r="T121" s="16">
        <f t="shared" si="77"/>
        <v>0</v>
      </c>
      <c r="U121" s="16">
        <f t="shared" si="77"/>
        <v>0</v>
      </c>
      <c r="V121" s="16">
        <f t="shared" si="77"/>
        <v>0</v>
      </c>
      <c r="W121" s="16">
        <f t="shared" si="77"/>
        <v>0</v>
      </c>
      <c r="X121" s="16">
        <f t="shared" si="77"/>
        <v>0</v>
      </c>
      <c r="Y121" s="108">
        <f t="shared" si="77"/>
        <v>0</v>
      </c>
    </row>
    <row r="122" spans="1:25" s="18" customFormat="1" ht="14.25" customHeight="1" x14ac:dyDescent="0.35">
      <c r="A122" s="1"/>
      <c r="B122" s="25"/>
      <c r="C122" s="25"/>
      <c r="D122" s="25"/>
      <c r="E122" s="25"/>
      <c r="F122" s="19"/>
      <c r="G122" s="20"/>
      <c r="H122" s="26"/>
      <c r="I122" s="27"/>
      <c r="J122" s="27"/>
      <c r="K122" s="27"/>
      <c r="L122" s="27"/>
      <c r="M122" s="27"/>
      <c r="N122" s="27"/>
      <c r="O122" s="27"/>
      <c r="P122" s="27"/>
      <c r="Q122" s="27"/>
      <c r="R122" s="27"/>
      <c r="S122" s="27"/>
      <c r="T122" s="27"/>
      <c r="U122" s="27"/>
      <c r="V122" s="27"/>
      <c r="W122" s="27"/>
      <c r="X122" s="27"/>
      <c r="Y122" s="27"/>
    </row>
    <row r="123" spans="1:25" s="18" customFormat="1" ht="14.25" customHeight="1" x14ac:dyDescent="0.35">
      <c r="A123" s="1"/>
      <c r="F123" s="19"/>
      <c r="G123" s="20"/>
      <c r="H123" s="26"/>
      <c r="I123" s="27"/>
      <c r="J123" s="27"/>
      <c r="K123" s="27"/>
      <c r="L123" s="27"/>
      <c r="M123" s="27"/>
      <c r="N123" s="27"/>
      <c r="O123" s="27"/>
      <c r="P123" s="27"/>
      <c r="Q123" s="27"/>
      <c r="R123" s="27"/>
      <c r="S123" s="27"/>
      <c r="T123" s="27"/>
      <c r="U123" s="27"/>
      <c r="V123" s="27"/>
      <c r="W123" s="27"/>
      <c r="X123" s="27"/>
      <c r="Y123" s="27"/>
    </row>
    <row r="124" spans="1:25" s="18" customFormat="1" ht="14.25" customHeight="1" x14ac:dyDescent="0.35">
      <c r="A124" s="1"/>
      <c r="F124" s="19"/>
      <c r="G124" s="20"/>
      <c r="H124" s="26"/>
      <c r="I124" s="27"/>
      <c r="J124" s="27"/>
      <c r="K124" s="27"/>
      <c r="L124" s="27"/>
      <c r="M124" s="27"/>
      <c r="N124" s="27"/>
      <c r="O124" s="27"/>
      <c r="P124" s="27"/>
      <c r="Q124" s="27"/>
      <c r="R124" s="27"/>
      <c r="S124" s="27"/>
      <c r="T124" s="27"/>
      <c r="U124" s="27"/>
      <c r="V124" s="27"/>
      <c r="W124" s="27"/>
      <c r="X124" s="27"/>
      <c r="Y124" s="27"/>
    </row>
    <row r="125" spans="1:25" s="18" customFormat="1" ht="14.25" customHeight="1" x14ac:dyDescent="0.35">
      <c r="A125" s="1"/>
      <c r="F125" s="19"/>
      <c r="G125" s="20"/>
      <c r="H125" s="26"/>
      <c r="I125" s="27"/>
      <c r="J125" s="27"/>
      <c r="K125" s="27"/>
      <c r="L125" s="27"/>
      <c r="M125" s="27"/>
      <c r="N125" s="27"/>
      <c r="O125" s="27"/>
      <c r="P125" s="27"/>
      <c r="Q125" s="27"/>
      <c r="R125" s="27"/>
      <c r="S125" s="27"/>
      <c r="T125" s="27"/>
      <c r="U125" s="27"/>
      <c r="V125" s="27"/>
      <c r="W125" s="27"/>
      <c r="X125" s="27"/>
      <c r="Y125" s="27"/>
    </row>
    <row r="126" spans="1:25" s="18" customFormat="1" ht="14.25" customHeight="1" x14ac:dyDescent="0.35">
      <c r="A126" s="1"/>
      <c r="F126" s="19"/>
      <c r="G126" s="20"/>
      <c r="H126" s="26"/>
      <c r="I126" s="27"/>
      <c r="J126" s="27"/>
      <c r="K126" s="27"/>
      <c r="L126" s="27"/>
      <c r="M126" s="27"/>
      <c r="N126" s="27"/>
      <c r="O126" s="27"/>
      <c r="P126" s="27"/>
      <c r="Q126" s="27"/>
      <c r="R126" s="27"/>
      <c r="S126" s="27"/>
      <c r="T126" s="27"/>
      <c r="U126" s="27"/>
      <c r="V126" s="27"/>
      <c r="W126" s="27"/>
      <c r="X126" s="27"/>
      <c r="Y126" s="27"/>
    </row>
    <row r="127" spans="1:25" s="18" customFormat="1" ht="14.25" customHeight="1" x14ac:dyDescent="0.35">
      <c r="A127" s="1"/>
      <c r="F127" s="19"/>
      <c r="G127" s="20"/>
      <c r="H127" s="26"/>
      <c r="I127" s="27"/>
      <c r="J127" s="27"/>
      <c r="K127" s="27"/>
      <c r="L127" s="27"/>
      <c r="M127" s="27"/>
      <c r="N127" s="27"/>
      <c r="O127" s="27"/>
      <c r="P127" s="27"/>
      <c r="Q127" s="27"/>
      <c r="R127" s="27"/>
      <c r="S127" s="27"/>
      <c r="T127" s="27"/>
      <c r="U127" s="27"/>
      <c r="V127" s="27"/>
      <c r="W127" s="27"/>
      <c r="X127" s="27"/>
      <c r="Y127" s="27"/>
    </row>
    <row r="128" spans="1:25" s="18" customFormat="1" ht="14.25" customHeight="1" x14ac:dyDescent="0.35">
      <c r="A128" s="1"/>
      <c r="F128" s="19"/>
      <c r="G128" s="20"/>
      <c r="H128" s="26"/>
      <c r="I128" s="27"/>
      <c r="J128" s="27"/>
      <c r="K128" s="27"/>
      <c r="L128" s="27"/>
      <c r="M128" s="27"/>
      <c r="N128" s="27"/>
      <c r="O128" s="27"/>
      <c r="P128" s="27"/>
      <c r="Q128" s="27"/>
      <c r="R128" s="27"/>
      <c r="S128" s="27"/>
      <c r="T128" s="27"/>
      <c r="U128" s="27"/>
      <c r="V128" s="27"/>
      <c r="W128" s="27"/>
      <c r="X128" s="27"/>
      <c r="Y128" s="27"/>
    </row>
    <row r="129" spans="1:25" s="18" customFormat="1" ht="14.25" customHeight="1" x14ac:dyDescent="0.35">
      <c r="A129" s="1"/>
      <c r="F129" s="19"/>
      <c r="G129" s="20"/>
      <c r="H129" s="26"/>
      <c r="I129" s="27"/>
      <c r="J129" s="27"/>
      <c r="K129" s="27"/>
      <c r="L129" s="27"/>
      <c r="M129" s="27"/>
      <c r="N129" s="27"/>
      <c r="O129" s="27"/>
      <c r="P129" s="27"/>
      <c r="Q129" s="27"/>
      <c r="R129" s="27"/>
      <c r="S129" s="27"/>
      <c r="T129" s="27"/>
      <c r="U129" s="27"/>
      <c r="V129" s="27"/>
      <c r="W129" s="27"/>
      <c r="X129" s="27"/>
      <c r="Y129" s="27"/>
    </row>
    <row r="130" spans="1:25" s="18" customFormat="1" ht="14.25" customHeight="1" x14ac:dyDescent="0.35">
      <c r="A130" s="1"/>
      <c r="F130" s="19"/>
      <c r="G130" s="20"/>
      <c r="H130" s="26"/>
      <c r="I130" s="26"/>
      <c r="J130" s="26"/>
      <c r="K130" s="26"/>
      <c r="L130" s="26"/>
      <c r="M130" s="26"/>
      <c r="N130" s="26"/>
      <c r="O130" s="26"/>
      <c r="P130" s="26"/>
      <c r="Q130" s="26"/>
      <c r="R130" s="26"/>
      <c r="S130" s="26"/>
      <c r="T130" s="26"/>
      <c r="U130" s="26"/>
      <c r="V130" s="26"/>
      <c r="W130" s="26"/>
      <c r="X130" s="26"/>
      <c r="Y130" s="26"/>
    </row>
    <row r="131" spans="1:25" s="18" customFormat="1" ht="14.25" customHeight="1" x14ac:dyDescent="0.35">
      <c r="F131" s="19"/>
      <c r="G131" s="20"/>
      <c r="H131" s="26"/>
      <c r="I131" s="26"/>
      <c r="J131" s="26"/>
      <c r="K131" s="26"/>
      <c r="L131" s="26"/>
      <c r="M131" s="26"/>
      <c r="N131" s="26"/>
      <c r="O131" s="26"/>
      <c r="P131" s="26"/>
      <c r="Q131" s="26"/>
      <c r="R131" s="26"/>
      <c r="S131" s="26"/>
      <c r="T131" s="26"/>
      <c r="U131" s="26"/>
      <c r="V131" s="26"/>
      <c r="W131" s="26"/>
      <c r="X131" s="26"/>
      <c r="Y131" s="26"/>
    </row>
    <row r="132" spans="1:25" s="18" customFormat="1" ht="14.25" customHeight="1" x14ac:dyDescent="0.35">
      <c r="F132" s="19"/>
      <c r="G132" s="20"/>
      <c r="H132" s="26"/>
      <c r="I132" s="26"/>
      <c r="J132" s="26"/>
      <c r="K132" s="26"/>
      <c r="L132" s="26"/>
      <c r="M132" s="26"/>
      <c r="N132" s="26"/>
      <c r="O132" s="26"/>
      <c r="P132" s="26"/>
      <c r="Q132" s="26"/>
      <c r="R132" s="26"/>
      <c r="S132" s="26"/>
      <c r="T132" s="26"/>
      <c r="U132" s="26"/>
      <c r="V132" s="26"/>
      <c r="W132" s="26"/>
      <c r="X132" s="26"/>
      <c r="Y132" s="26"/>
    </row>
    <row r="133" spans="1:25" s="18" customFormat="1" ht="14.25" customHeight="1" x14ac:dyDescent="0.35">
      <c r="F133" s="19"/>
      <c r="G133" s="20"/>
      <c r="H133" s="26"/>
      <c r="I133" s="26"/>
      <c r="J133" s="26"/>
      <c r="K133" s="26"/>
      <c r="L133" s="26"/>
      <c r="M133" s="26"/>
      <c r="N133" s="26"/>
      <c r="O133" s="26"/>
      <c r="P133" s="26"/>
      <c r="Q133" s="26"/>
      <c r="R133" s="26"/>
      <c r="S133" s="26"/>
      <c r="T133" s="26"/>
      <c r="U133" s="26"/>
      <c r="V133" s="26"/>
      <c r="W133" s="26"/>
      <c r="X133" s="26"/>
      <c r="Y133" s="26"/>
    </row>
    <row r="134" spans="1:25" s="18" customFormat="1" ht="14.25" customHeight="1" x14ac:dyDescent="0.35">
      <c r="F134" s="19"/>
      <c r="G134" s="20"/>
    </row>
    <row r="135" spans="1:25" s="18" customFormat="1" ht="14.25" customHeight="1" x14ac:dyDescent="0.35">
      <c r="F135" s="19"/>
      <c r="G135" s="20"/>
    </row>
    <row r="136" spans="1:25" s="18" customFormat="1" ht="14.25" customHeight="1" x14ac:dyDescent="0.35">
      <c r="F136" s="19"/>
      <c r="G136" s="20"/>
    </row>
    <row r="137" spans="1:25" s="18" customFormat="1" ht="14.25" customHeight="1" x14ac:dyDescent="0.35">
      <c r="F137" s="19"/>
      <c r="G137" s="20"/>
    </row>
    <row r="138" spans="1:25" s="18" customFormat="1" ht="14.25" customHeight="1" x14ac:dyDescent="0.35">
      <c r="F138" s="19"/>
      <c r="G138" s="20"/>
    </row>
    <row r="139" spans="1:25" s="18" customFormat="1" ht="14.25" customHeight="1" x14ac:dyDescent="0.35">
      <c r="F139" s="19"/>
      <c r="G139" s="20"/>
    </row>
    <row r="140" spans="1:25" s="18" customFormat="1" ht="14.25" customHeight="1" x14ac:dyDescent="0.35">
      <c r="F140" s="19"/>
      <c r="G140" s="20"/>
    </row>
    <row r="141" spans="1:25" s="18" customFormat="1" ht="14.25" customHeight="1" x14ac:dyDescent="0.35">
      <c r="F141" s="19"/>
      <c r="G141" s="20"/>
    </row>
    <row r="142" spans="1:25" s="18" customFormat="1" ht="14.25" customHeight="1" x14ac:dyDescent="0.35">
      <c r="F142" s="19"/>
      <c r="G142" s="20"/>
    </row>
    <row r="143" spans="1:25" s="18" customFormat="1" ht="14.25" customHeight="1" x14ac:dyDescent="0.35">
      <c r="F143" s="19"/>
      <c r="G143" s="20"/>
    </row>
    <row r="144" spans="1:25" s="18" customFormat="1" ht="14.25" customHeight="1" x14ac:dyDescent="0.35">
      <c r="F144" s="19"/>
      <c r="G144" s="20"/>
    </row>
    <row r="145" spans="6:7" s="18" customFormat="1" ht="14.25" customHeight="1" x14ac:dyDescent="0.35">
      <c r="F145" s="19"/>
      <c r="G145" s="20"/>
    </row>
    <row r="146" spans="6:7" s="18" customFormat="1" ht="14.25" customHeight="1" x14ac:dyDescent="0.35">
      <c r="F146" s="19"/>
      <c r="G146" s="20"/>
    </row>
    <row r="147" spans="6:7" s="18" customFormat="1" ht="14.25" customHeight="1" x14ac:dyDescent="0.35">
      <c r="F147" s="19"/>
      <c r="G147" s="20"/>
    </row>
    <row r="148" spans="6:7" s="18" customFormat="1" ht="14.25" customHeight="1" x14ac:dyDescent="0.35">
      <c r="F148" s="19"/>
      <c r="G148" s="20"/>
    </row>
    <row r="149" spans="6:7" s="18" customFormat="1" ht="14.25" customHeight="1" x14ac:dyDescent="0.35">
      <c r="F149" s="19"/>
      <c r="G149" s="20"/>
    </row>
    <row r="150" spans="6:7" s="18" customFormat="1" ht="14.25" customHeight="1" x14ac:dyDescent="0.35">
      <c r="F150" s="19"/>
      <c r="G150" s="20"/>
    </row>
    <row r="151" spans="6:7" s="18" customFormat="1" ht="14.25" customHeight="1" x14ac:dyDescent="0.35">
      <c r="F151" s="19"/>
      <c r="G151" s="20"/>
    </row>
    <row r="152" spans="6:7" s="18" customFormat="1" ht="14.25" customHeight="1" x14ac:dyDescent="0.35">
      <c r="F152" s="19"/>
      <c r="G152" s="20"/>
    </row>
    <row r="153" spans="6:7" s="18" customFormat="1" ht="14.25" customHeight="1" x14ac:dyDescent="0.35">
      <c r="F153" s="19"/>
      <c r="G153" s="20"/>
    </row>
    <row r="154" spans="6:7" s="18" customFormat="1" ht="14.25" customHeight="1" x14ac:dyDescent="0.35">
      <c r="F154" s="19"/>
      <c r="G154" s="20"/>
    </row>
    <row r="155" spans="6:7" s="18" customFormat="1" ht="14.25" customHeight="1" x14ac:dyDescent="0.35">
      <c r="F155" s="19"/>
      <c r="G155" s="20"/>
    </row>
    <row r="156" spans="6:7" s="18" customFormat="1" ht="14.25" customHeight="1" x14ac:dyDescent="0.35">
      <c r="F156" s="19"/>
      <c r="G156" s="20"/>
    </row>
    <row r="157" spans="6:7" s="18" customFormat="1" ht="14.25" customHeight="1" x14ac:dyDescent="0.35">
      <c r="F157" s="19"/>
      <c r="G157" s="20"/>
    </row>
    <row r="158" spans="6:7" s="18" customFormat="1" ht="14.25" customHeight="1" x14ac:dyDescent="0.35">
      <c r="F158" s="19"/>
      <c r="G158" s="20"/>
    </row>
    <row r="159" spans="6:7" s="18" customFormat="1" ht="14.25" customHeight="1" x14ac:dyDescent="0.35">
      <c r="F159" s="19"/>
      <c r="G159" s="20"/>
    </row>
    <row r="160" spans="6:7" s="18" customFormat="1" ht="14.25" customHeight="1" x14ac:dyDescent="0.35">
      <c r="F160" s="19"/>
      <c r="G160" s="20"/>
    </row>
    <row r="161" spans="6:7" s="18" customFormat="1" ht="14.25" customHeight="1" x14ac:dyDescent="0.35">
      <c r="F161" s="19"/>
      <c r="G161" s="20"/>
    </row>
    <row r="162" spans="6:7" s="18" customFormat="1" ht="14.25" customHeight="1" x14ac:dyDescent="0.35">
      <c r="F162" s="19"/>
      <c r="G162" s="20"/>
    </row>
    <row r="163" spans="6:7" s="18" customFormat="1" ht="14.25" customHeight="1" x14ac:dyDescent="0.35">
      <c r="F163" s="19"/>
      <c r="G163" s="20"/>
    </row>
    <row r="164" spans="6:7" s="18" customFormat="1" ht="14.25" customHeight="1" x14ac:dyDescent="0.35">
      <c r="F164" s="19"/>
      <c r="G164" s="20"/>
    </row>
    <row r="165" spans="6:7" s="18" customFormat="1" ht="14.25" customHeight="1" x14ac:dyDescent="0.35">
      <c r="F165" s="19"/>
      <c r="G165" s="20"/>
    </row>
    <row r="166" spans="6:7" s="18" customFormat="1" ht="14.25" customHeight="1" x14ac:dyDescent="0.35">
      <c r="F166" s="19"/>
      <c r="G166" s="20"/>
    </row>
    <row r="167" spans="6:7" s="18" customFormat="1" ht="14.25" customHeight="1" x14ac:dyDescent="0.35">
      <c r="F167" s="19"/>
      <c r="G167" s="20"/>
    </row>
    <row r="168" spans="6:7" s="18" customFormat="1" ht="14.25" customHeight="1" x14ac:dyDescent="0.35">
      <c r="F168" s="19"/>
      <c r="G168" s="20"/>
    </row>
    <row r="169" spans="6:7" s="18" customFormat="1" ht="14.25" customHeight="1" x14ac:dyDescent="0.35">
      <c r="F169" s="19"/>
      <c r="G169" s="20"/>
    </row>
    <row r="170" spans="6:7" s="18" customFormat="1" ht="14.25" customHeight="1" x14ac:dyDescent="0.35">
      <c r="F170" s="19"/>
      <c r="G170" s="20"/>
    </row>
    <row r="171" spans="6:7" s="18" customFormat="1" ht="14.25" customHeight="1" x14ac:dyDescent="0.35">
      <c r="F171" s="19"/>
      <c r="G171" s="20"/>
    </row>
    <row r="172" spans="6:7" s="18" customFormat="1" ht="14.25" customHeight="1" x14ac:dyDescent="0.35">
      <c r="F172" s="19"/>
      <c r="G172" s="20"/>
    </row>
    <row r="173" spans="6:7" s="18" customFormat="1" ht="14.25" customHeight="1" x14ac:dyDescent="0.35">
      <c r="F173" s="19"/>
      <c r="G173" s="20"/>
    </row>
    <row r="174" spans="6:7" s="18" customFormat="1" ht="14.25" customHeight="1" x14ac:dyDescent="0.35">
      <c r="F174" s="19"/>
      <c r="G174" s="20"/>
    </row>
    <row r="175" spans="6:7" s="18" customFormat="1" ht="14.25" customHeight="1" x14ac:dyDescent="0.35">
      <c r="F175" s="19"/>
      <c r="G175" s="20"/>
    </row>
    <row r="176" spans="6:7" s="18" customFormat="1" ht="14.25" customHeight="1" x14ac:dyDescent="0.35">
      <c r="F176" s="19"/>
      <c r="G176" s="20"/>
    </row>
    <row r="177" spans="6:7" s="18" customFormat="1" ht="14.25" customHeight="1" x14ac:dyDescent="0.35">
      <c r="F177" s="19"/>
      <c r="G177" s="20"/>
    </row>
    <row r="178" spans="6:7" s="18" customFormat="1" ht="14.25" customHeight="1" x14ac:dyDescent="0.35">
      <c r="F178" s="19"/>
      <c r="G178" s="20"/>
    </row>
    <row r="179" spans="6:7" s="18" customFormat="1" ht="14.25" customHeight="1" x14ac:dyDescent="0.35">
      <c r="F179" s="19"/>
      <c r="G179" s="20"/>
    </row>
    <row r="180" spans="6:7" s="18" customFormat="1" ht="14.25" customHeight="1" x14ac:dyDescent="0.35">
      <c r="F180" s="19"/>
      <c r="G180" s="20"/>
    </row>
    <row r="181" spans="6:7" s="18" customFormat="1" ht="14.25" customHeight="1" x14ac:dyDescent="0.35">
      <c r="F181" s="19"/>
      <c r="G181" s="20"/>
    </row>
    <row r="182" spans="6:7" s="18" customFormat="1" ht="14.25" customHeight="1" x14ac:dyDescent="0.35">
      <c r="F182" s="19"/>
      <c r="G182" s="20"/>
    </row>
    <row r="183" spans="6:7" s="18" customFormat="1" ht="14.25" customHeight="1" x14ac:dyDescent="0.35">
      <c r="F183" s="19"/>
      <c r="G183" s="20"/>
    </row>
    <row r="184" spans="6:7" s="18" customFormat="1" ht="14.25" customHeight="1" x14ac:dyDescent="0.35">
      <c r="F184" s="19"/>
      <c r="G184" s="20"/>
    </row>
    <row r="185" spans="6:7" s="18" customFormat="1" ht="14.25" customHeight="1" x14ac:dyDescent="0.35">
      <c r="F185" s="19"/>
      <c r="G185" s="20"/>
    </row>
    <row r="186" spans="6:7" s="18" customFormat="1" ht="14.25" customHeight="1" x14ac:dyDescent="0.35">
      <c r="F186" s="19"/>
      <c r="G186" s="20"/>
    </row>
    <row r="187" spans="6:7" s="18" customFormat="1" ht="14.25" customHeight="1" x14ac:dyDescent="0.35">
      <c r="F187" s="19"/>
      <c r="G187" s="20"/>
    </row>
    <row r="188" spans="6:7" s="18" customFormat="1" ht="14.25" customHeight="1" x14ac:dyDescent="0.35">
      <c r="F188" s="19"/>
      <c r="G188" s="20"/>
    </row>
    <row r="189" spans="6:7" s="18" customFormat="1" ht="14.25" customHeight="1" x14ac:dyDescent="0.35">
      <c r="F189" s="19"/>
      <c r="G189" s="20"/>
    </row>
    <row r="190" spans="6:7" s="18" customFormat="1" ht="14.25" customHeight="1" x14ac:dyDescent="0.35">
      <c r="F190" s="19"/>
      <c r="G190" s="20"/>
    </row>
    <row r="191" spans="6:7" s="18" customFormat="1" ht="14.25" customHeight="1" x14ac:dyDescent="0.35">
      <c r="F191" s="19"/>
      <c r="G191" s="20"/>
    </row>
    <row r="192" spans="6:7" s="18" customFormat="1" ht="14.25" customHeight="1" x14ac:dyDescent="0.35">
      <c r="F192" s="19"/>
      <c r="G192" s="20"/>
    </row>
    <row r="193" spans="6:7" s="18" customFormat="1" ht="14.25" customHeight="1" x14ac:dyDescent="0.35">
      <c r="F193" s="19"/>
      <c r="G193" s="20"/>
    </row>
    <row r="194" spans="6:7" s="18" customFormat="1" ht="14.25" customHeight="1" x14ac:dyDescent="0.35">
      <c r="F194" s="19"/>
      <c r="G194" s="20"/>
    </row>
    <row r="195" spans="6:7" s="18" customFormat="1" ht="14.25" customHeight="1" x14ac:dyDescent="0.35">
      <c r="F195" s="19"/>
      <c r="G195" s="20"/>
    </row>
    <row r="196" spans="6:7" s="18" customFormat="1" ht="14.25" customHeight="1" x14ac:dyDescent="0.35">
      <c r="F196" s="19"/>
      <c r="G196" s="20"/>
    </row>
    <row r="197" spans="6:7" s="18" customFormat="1" ht="14.25" customHeight="1" x14ac:dyDescent="0.35">
      <c r="F197" s="19"/>
      <c r="G197" s="20"/>
    </row>
    <row r="198" spans="6:7" s="18" customFormat="1" ht="14.25" customHeight="1" x14ac:dyDescent="0.35">
      <c r="F198" s="19"/>
      <c r="G198" s="20"/>
    </row>
    <row r="199" spans="6:7" s="18" customFormat="1" ht="14.25" customHeight="1" x14ac:dyDescent="0.35">
      <c r="F199" s="19"/>
      <c r="G199" s="20"/>
    </row>
    <row r="200" spans="6:7" s="18" customFormat="1" ht="14.25" customHeight="1" x14ac:dyDescent="0.35">
      <c r="F200" s="19"/>
      <c r="G200" s="20"/>
    </row>
    <row r="201" spans="6:7" s="18" customFormat="1" ht="14.25" customHeight="1" x14ac:dyDescent="0.35">
      <c r="F201" s="19"/>
      <c r="G201" s="20"/>
    </row>
    <row r="202" spans="6:7" s="18" customFormat="1" ht="14.25" customHeight="1" x14ac:dyDescent="0.35">
      <c r="F202" s="19"/>
      <c r="G202" s="20"/>
    </row>
    <row r="203" spans="6:7" s="18" customFormat="1" ht="14.25" customHeight="1" x14ac:dyDescent="0.35">
      <c r="F203" s="19"/>
      <c r="G203" s="20"/>
    </row>
    <row r="204" spans="6:7" s="18" customFormat="1" ht="14.25" customHeight="1" x14ac:dyDescent="0.35">
      <c r="F204" s="19"/>
      <c r="G204" s="20"/>
    </row>
    <row r="205" spans="6:7" s="18" customFormat="1" ht="14.25" customHeight="1" x14ac:dyDescent="0.35">
      <c r="F205" s="19"/>
      <c r="G205" s="20"/>
    </row>
    <row r="206" spans="6:7" s="18" customFormat="1" ht="14.25" customHeight="1" x14ac:dyDescent="0.35">
      <c r="F206" s="19"/>
      <c r="G206" s="20"/>
    </row>
    <row r="207" spans="6:7" s="18" customFormat="1" ht="14.25" customHeight="1" x14ac:dyDescent="0.35">
      <c r="F207" s="19"/>
      <c r="G207" s="20"/>
    </row>
    <row r="208" spans="6:7" s="18" customFormat="1" ht="14.25" customHeight="1" x14ac:dyDescent="0.35">
      <c r="F208" s="19"/>
      <c r="G208" s="20"/>
    </row>
    <row r="209" spans="6:7" s="18" customFormat="1" ht="14.25" customHeight="1" x14ac:dyDescent="0.35">
      <c r="F209" s="19"/>
      <c r="G209" s="20"/>
    </row>
    <row r="210" spans="6:7" s="18" customFormat="1" ht="14.25" customHeight="1" x14ac:dyDescent="0.35">
      <c r="F210" s="19"/>
      <c r="G210" s="20"/>
    </row>
    <row r="211" spans="6:7" s="18" customFormat="1" ht="14.25" customHeight="1" x14ac:dyDescent="0.35">
      <c r="F211" s="19"/>
      <c r="G211" s="20"/>
    </row>
    <row r="212" spans="6:7" s="18" customFormat="1" ht="14.25" customHeight="1" x14ac:dyDescent="0.35">
      <c r="F212" s="19"/>
      <c r="G212" s="20"/>
    </row>
    <row r="213" spans="6:7" s="18" customFormat="1" ht="14.25" customHeight="1" x14ac:dyDescent="0.35">
      <c r="F213" s="19"/>
      <c r="G213" s="20"/>
    </row>
    <row r="214" spans="6:7" s="18" customFormat="1" ht="14.25" customHeight="1" x14ac:dyDescent="0.35">
      <c r="F214" s="19"/>
      <c r="G214" s="20"/>
    </row>
    <row r="215" spans="6:7" s="18" customFormat="1" ht="14.25" customHeight="1" x14ac:dyDescent="0.35">
      <c r="F215" s="19"/>
      <c r="G215" s="20"/>
    </row>
    <row r="216" spans="6:7" s="18" customFormat="1" ht="14.25" customHeight="1" x14ac:dyDescent="0.35">
      <c r="F216" s="19"/>
      <c r="G216" s="20"/>
    </row>
    <row r="217" spans="6:7" s="18" customFormat="1" ht="14.25" customHeight="1" x14ac:dyDescent="0.35">
      <c r="F217" s="19"/>
      <c r="G217" s="20"/>
    </row>
    <row r="218" spans="6:7" s="18" customFormat="1" ht="14.25" customHeight="1" x14ac:dyDescent="0.35">
      <c r="F218" s="19"/>
      <c r="G218" s="20"/>
    </row>
    <row r="219" spans="6:7" s="18" customFormat="1" ht="14.25" customHeight="1" x14ac:dyDescent="0.35">
      <c r="F219" s="19"/>
      <c r="G219" s="20"/>
    </row>
    <row r="220" spans="6:7" s="18" customFormat="1" ht="14.25" customHeight="1" x14ac:dyDescent="0.35">
      <c r="F220" s="19"/>
      <c r="G220" s="20"/>
    </row>
    <row r="221" spans="6:7" s="18" customFormat="1" ht="14.25" customHeight="1" x14ac:dyDescent="0.35">
      <c r="F221" s="19"/>
      <c r="G221" s="20"/>
    </row>
    <row r="222" spans="6:7" s="18" customFormat="1" ht="14.25" customHeight="1" x14ac:dyDescent="0.35">
      <c r="F222" s="19"/>
      <c r="G222" s="20"/>
    </row>
    <row r="223" spans="6:7" s="18" customFormat="1" ht="14.25" customHeight="1" x14ac:dyDescent="0.35">
      <c r="F223" s="19"/>
      <c r="G223" s="20"/>
    </row>
    <row r="224" spans="6:7" s="18" customFormat="1" ht="14.25" customHeight="1" x14ac:dyDescent="0.35">
      <c r="F224" s="19"/>
      <c r="G224" s="20"/>
    </row>
    <row r="225" spans="6:7" s="18" customFormat="1" ht="14.25" customHeight="1" x14ac:dyDescent="0.35">
      <c r="F225" s="19"/>
      <c r="G225" s="20"/>
    </row>
    <row r="226" spans="6:7" s="18" customFormat="1" ht="14.25" customHeight="1" x14ac:dyDescent="0.35">
      <c r="F226" s="19"/>
      <c r="G226" s="20"/>
    </row>
    <row r="227" spans="6:7" s="18" customFormat="1" ht="14.25" customHeight="1" x14ac:dyDescent="0.35">
      <c r="F227" s="19"/>
      <c r="G227" s="20"/>
    </row>
    <row r="228" spans="6:7" s="18" customFormat="1" ht="14.25" customHeight="1" x14ac:dyDescent="0.35">
      <c r="F228" s="19"/>
      <c r="G228" s="20"/>
    </row>
    <row r="229" spans="6:7" s="18" customFormat="1" ht="14.25" customHeight="1" x14ac:dyDescent="0.35">
      <c r="F229" s="19"/>
      <c r="G229" s="20"/>
    </row>
    <row r="230" spans="6:7" s="18" customFormat="1" ht="14.25" customHeight="1" x14ac:dyDescent="0.35">
      <c r="F230" s="19"/>
      <c r="G230" s="20"/>
    </row>
    <row r="231" spans="6:7" s="18" customFormat="1" ht="14.25" customHeight="1" x14ac:dyDescent="0.35">
      <c r="F231" s="19"/>
      <c r="G231" s="20"/>
    </row>
    <row r="232" spans="6:7" s="18" customFormat="1" ht="14.25" customHeight="1" x14ac:dyDescent="0.35">
      <c r="F232" s="19"/>
      <c r="G232" s="20"/>
    </row>
    <row r="233" spans="6:7" s="18" customFormat="1" ht="14.25" customHeight="1" x14ac:dyDescent="0.35">
      <c r="F233" s="19"/>
      <c r="G233" s="20"/>
    </row>
    <row r="234" spans="6:7" s="18" customFormat="1" ht="14.25" customHeight="1" x14ac:dyDescent="0.35">
      <c r="F234" s="19"/>
      <c r="G234" s="20"/>
    </row>
    <row r="235" spans="6:7" s="18" customFormat="1" ht="14.25" customHeight="1" x14ac:dyDescent="0.35">
      <c r="F235" s="19"/>
      <c r="G235" s="20"/>
    </row>
    <row r="236" spans="6:7" s="18" customFormat="1" ht="14.25" customHeight="1" x14ac:dyDescent="0.35">
      <c r="F236" s="19"/>
      <c r="G236" s="20"/>
    </row>
    <row r="237" spans="6:7" s="18" customFormat="1" ht="14.25" customHeight="1" x14ac:dyDescent="0.35">
      <c r="F237" s="19"/>
      <c r="G237" s="20"/>
    </row>
    <row r="238" spans="6:7" s="18" customFormat="1" ht="14.25" customHeight="1" x14ac:dyDescent="0.35">
      <c r="F238" s="19"/>
      <c r="G238" s="20"/>
    </row>
    <row r="239" spans="6:7" s="18" customFormat="1" ht="14.25" customHeight="1" x14ac:dyDescent="0.35">
      <c r="F239" s="19"/>
      <c r="G239" s="20"/>
    </row>
    <row r="240" spans="6:7" s="18" customFormat="1" ht="14.25" customHeight="1" x14ac:dyDescent="0.35">
      <c r="F240" s="19"/>
      <c r="G240" s="20"/>
    </row>
    <row r="241" spans="6:7" s="18" customFormat="1" ht="14.25" customHeight="1" x14ac:dyDescent="0.35">
      <c r="F241" s="19"/>
      <c r="G241" s="20"/>
    </row>
    <row r="242" spans="6:7" s="18" customFormat="1" ht="14.25" customHeight="1" x14ac:dyDescent="0.35">
      <c r="F242" s="19"/>
      <c r="G242" s="20"/>
    </row>
    <row r="243" spans="6:7" s="18" customFormat="1" ht="14.25" customHeight="1" x14ac:dyDescent="0.35">
      <c r="F243" s="19"/>
      <c r="G243" s="20"/>
    </row>
    <row r="244" spans="6:7" s="18" customFormat="1" ht="14.25" customHeight="1" x14ac:dyDescent="0.35">
      <c r="F244" s="19"/>
      <c r="G244" s="20"/>
    </row>
    <row r="245" spans="6:7" s="18" customFormat="1" ht="14.25" customHeight="1" x14ac:dyDescent="0.35">
      <c r="F245" s="19"/>
      <c r="G245" s="20"/>
    </row>
    <row r="246" spans="6:7" s="18" customFormat="1" ht="14.25" customHeight="1" x14ac:dyDescent="0.35">
      <c r="F246" s="19"/>
      <c r="G246" s="20"/>
    </row>
    <row r="247" spans="6:7" s="18" customFormat="1" ht="14.25" customHeight="1" x14ac:dyDescent="0.35">
      <c r="F247" s="19"/>
      <c r="G247" s="20"/>
    </row>
    <row r="248" spans="6:7" s="18" customFormat="1" ht="14.25" customHeight="1" x14ac:dyDescent="0.35">
      <c r="F248" s="19"/>
      <c r="G248" s="20"/>
    </row>
    <row r="249" spans="6:7" s="18" customFormat="1" ht="14.25" customHeight="1" x14ac:dyDescent="0.35">
      <c r="F249" s="19"/>
      <c r="G249" s="20"/>
    </row>
    <row r="250" spans="6:7" s="18" customFormat="1" ht="14.25" customHeight="1" x14ac:dyDescent="0.35">
      <c r="F250" s="19"/>
      <c r="G250" s="20"/>
    </row>
    <row r="251" spans="6:7" s="18" customFormat="1" ht="14.25" customHeight="1" x14ac:dyDescent="0.35">
      <c r="F251" s="19"/>
      <c r="G251" s="20"/>
    </row>
    <row r="252" spans="6:7" s="18" customFormat="1" ht="14.25" customHeight="1" x14ac:dyDescent="0.35">
      <c r="F252" s="19"/>
      <c r="G252" s="20"/>
    </row>
    <row r="253" spans="6:7" s="18" customFormat="1" ht="14.25" customHeight="1" x14ac:dyDescent="0.35">
      <c r="F253" s="19"/>
      <c r="G253" s="20"/>
    </row>
    <row r="254" spans="6:7" s="18" customFormat="1" ht="14.25" customHeight="1" x14ac:dyDescent="0.35">
      <c r="F254" s="19"/>
      <c r="G254" s="20"/>
    </row>
    <row r="255" spans="6:7" s="18" customFormat="1" ht="14.25" customHeight="1" x14ac:dyDescent="0.35">
      <c r="F255" s="19"/>
      <c r="G255" s="20"/>
    </row>
    <row r="256" spans="6:7" s="18" customFormat="1" ht="14.25" customHeight="1" x14ac:dyDescent="0.35">
      <c r="F256" s="19"/>
      <c r="G256" s="20"/>
    </row>
    <row r="257" spans="6:7" s="18" customFormat="1" ht="14.25" customHeight="1" x14ac:dyDescent="0.35">
      <c r="F257" s="19"/>
      <c r="G257" s="20"/>
    </row>
    <row r="258" spans="6:7" s="18" customFormat="1" ht="14.25" customHeight="1" x14ac:dyDescent="0.35">
      <c r="F258" s="19"/>
      <c r="G258" s="20"/>
    </row>
    <row r="259" spans="6:7" s="18" customFormat="1" ht="14.25" customHeight="1" x14ac:dyDescent="0.35">
      <c r="F259" s="19"/>
      <c r="G259" s="20"/>
    </row>
    <row r="260" spans="6:7" s="18" customFormat="1" ht="14.25" customHeight="1" x14ac:dyDescent="0.35">
      <c r="F260" s="19"/>
      <c r="G260" s="20"/>
    </row>
    <row r="261" spans="6:7" s="18" customFormat="1" ht="14.25" customHeight="1" x14ac:dyDescent="0.35">
      <c r="F261" s="19"/>
      <c r="G261" s="20"/>
    </row>
    <row r="262" spans="6:7" s="18" customFormat="1" ht="14.25" customHeight="1" x14ac:dyDescent="0.35">
      <c r="F262" s="19"/>
      <c r="G262" s="20"/>
    </row>
    <row r="263" spans="6:7" s="18" customFormat="1" ht="14.25" customHeight="1" x14ac:dyDescent="0.35">
      <c r="F263" s="19"/>
      <c r="G263" s="20"/>
    </row>
    <row r="264" spans="6:7" s="18" customFormat="1" ht="14.25" customHeight="1" x14ac:dyDescent="0.35">
      <c r="F264" s="19"/>
      <c r="G264" s="20"/>
    </row>
    <row r="265" spans="6:7" s="18" customFormat="1" ht="14.25" customHeight="1" x14ac:dyDescent="0.35">
      <c r="F265" s="19"/>
      <c r="G265" s="20"/>
    </row>
    <row r="266" spans="6:7" s="18" customFormat="1" ht="14.25" customHeight="1" x14ac:dyDescent="0.35">
      <c r="F266" s="19"/>
      <c r="G266" s="20"/>
    </row>
    <row r="267" spans="6:7" s="18" customFormat="1" ht="14.25" customHeight="1" x14ac:dyDescent="0.35">
      <c r="F267" s="19"/>
      <c r="G267" s="20"/>
    </row>
    <row r="268" spans="6:7" s="18" customFormat="1" ht="14.25" customHeight="1" x14ac:dyDescent="0.35">
      <c r="F268" s="19"/>
      <c r="G268" s="20"/>
    </row>
    <row r="269" spans="6:7" s="18" customFormat="1" ht="14.25" customHeight="1" x14ac:dyDescent="0.35">
      <c r="F269" s="19"/>
      <c r="G269" s="20"/>
    </row>
    <row r="270" spans="6:7" s="18" customFormat="1" ht="14.25" customHeight="1" x14ac:dyDescent="0.35">
      <c r="F270" s="19"/>
      <c r="G270" s="20"/>
    </row>
    <row r="271" spans="6:7" s="18" customFormat="1" ht="14.25" customHeight="1" x14ac:dyDescent="0.35">
      <c r="F271" s="19"/>
      <c r="G271" s="20"/>
    </row>
    <row r="272" spans="6:7" s="18" customFormat="1" ht="14.25" customHeight="1" x14ac:dyDescent="0.35">
      <c r="F272" s="19"/>
      <c r="G272" s="20"/>
    </row>
    <row r="273" spans="6:7" s="18" customFormat="1" ht="14.25" customHeight="1" x14ac:dyDescent="0.35">
      <c r="F273" s="19"/>
      <c r="G273" s="20"/>
    </row>
    <row r="274" spans="6:7" s="18" customFormat="1" ht="14.25" customHeight="1" x14ac:dyDescent="0.35">
      <c r="F274" s="19"/>
      <c r="G274" s="20"/>
    </row>
    <row r="275" spans="6:7" s="18" customFormat="1" ht="14.25" customHeight="1" x14ac:dyDescent="0.35">
      <c r="F275" s="19"/>
      <c r="G275" s="20"/>
    </row>
    <row r="276" spans="6:7" s="18" customFormat="1" ht="14.25" customHeight="1" x14ac:dyDescent="0.35">
      <c r="F276" s="19"/>
      <c r="G276" s="20"/>
    </row>
    <row r="277" spans="6:7" s="18" customFormat="1" ht="14.25" customHeight="1" x14ac:dyDescent="0.35">
      <c r="F277" s="19"/>
      <c r="G277" s="20"/>
    </row>
    <row r="278" spans="6:7" s="18" customFormat="1" ht="14.25" customHeight="1" x14ac:dyDescent="0.35">
      <c r="F278" s="19"/>
      <c r="G278" s="20"/>
    </row>
    <row r="279" spans="6:7" s="18" customFormat="1" ht="14.25" customHeight="1" x14ac:dyDescent="0.35">
      <c r="F279" s="19"/>
      <c r="G279" s="20"/>
    </row>
    <row r="280" spans="6:7" s="18" customFormat="1" ht="14.25" customHeight="1" x14ac:dyDescent="0.35">
      <c r="F280" s="19"/>
      <c r="G280" s="20"/>
    </row>
    <row r="281" spans="6:7" s="18" customFormat="1" ht="14.25" customHeight="1" x14ac:dyDescent="0.35">
      <c r="F281" s="19"/>
      <c r="G281" s="20"/>
    </row>
    <row r="282" spans="6:7" s="18" customFormat="1" ht="14.25" customHeight="1" x14ac:dyDescent="0.35">
      <c r="F282" s="19"/>
      <c r="G282" s="20"/>
    </row>
    <row r="283" spans="6:7" s="18" customFormat="1" ht="14.25" customHeight="1" x14ac:dyDescent="0.35">
      <c r="F283" s="19"/>
      <c r="G283" s="20"/>
    </row>
    <row r="284" spans="6:7" s="18" customFormat="1" ht="14.25" customHeight="1" x14ac:dyDescent="0.35">
      <c r="F284" s="19"/>
      <c r="G284" s="20"/>
    </row>
    <row r="285" spans="6:7" s="18" customFormat="1" ht="14.25" customHeight="1" x14ac:dyDescent="0.35">
      <c r="F285" s="19"/>
      <c r="G285" s="20"/>
    </row>
    <row r="286" spans="6:7" s="18" customFormat="1" ht="14.25" customHeight="1" x14ac:dyDescent="0.35">
      <c r="F286" s="19"/>
      <c r="G286" s="20"/>
    </row>
    <row r="287" spans="6:7" s="18" customFormat="1" ht="14.25" customHeight="1" x14ac:dyDescent="0.35">
      <c r="F287" s="19"/>
      <c r="G287" s="20"/>
    </row>
    <row r="288" spans="6:7" s="18" customFormat="1" ht="14.25" customHeight="1" x14ac:dyDescent="0.35">
      <c r="F288" s="19"/>
      <c r="G288" s="20"/>
    </row>
    <row r="289" spans="6:7" s="18" customFormat="1" ht="14.25" customHeight="1" x14ac:dyDescent="0.35">
      <c r="F289" s="19"/>
      <c r="G289" s="20"/>
    </row>
    <row r="290" spans="6:7" s="18" customFormat="1" ht="14.25" customHeight="1" x14ac:dyDescent="0.35">
      <c r="F290" s="19"/>
      <c r="G290" s="20"/>
    </row>
    <row r="291" spans="6:7" s="18" customFormat="1" ht="14.25" customHeight="1" x14ac:dyDescent="0.35">
      <c r="F291" s="19"/>
      <c r="G291" s="20"/>
    </row>
    <row r="292" spans="6:7" s="18" customFormat="1" ht="14.25" customHeight="1" x14ac:dyDescent="0.35">
      <c r="F292" s="19"/>
      <c r="G292" s="20"/>
    </row>
    <row r="293" spans="6:7" s="18" customFormat="1" ht="14.25" customHeight="1" x14ac:dyDescent="0.35">
      <c r="F293" s="19"/>
      <c r="G293" s="20"/>
    </row>
    <row r="294" spans="6:7" s="18" customFormat="1" ht="14.25" customHeight="1" x14ac:dyDescent="0.35">
      <c r="F294" s="19"/>
      <c r="G294" s="20"/>
    </row>
    <row r="295" spans="6:7" s="18" customFormat="1" ht="14.25" customHeight="1" x14ac:dyDescent="0.35">
      <c r="F295" s="19"/>
      <c r="G295" s="20"/>
    </row>
    <row r="296" spans="6:7" s="18" customFormat="1" ht="14.25" customHeight="1" x14ac:dyDescent="0.35">
      <c r="F296" s="19"/>
      <c r="G296" s="20"/>
    </row>
    <row r="297" spans="6:7" s="18" customFormat="1" ht="14.25" customHeight="1" x14ac:dyDescent="0.35">
      <c r="F297" s="19"/>
      <c r="G297" s="20"/>
    </row>
    <row r="298" spans="6:7" s="18" customFormat="1" ht="14.25" customHeight="1" x14ac:dyDescent="0.35">
      <c r="F298" s="19"/>
      <c r="G298" s="20"/>
    </row>
    <row r="299" spans="6:7" s="18" customFormat="1" ht="14.25" customHeight="1" x14ac:dyDescent="0.35">
      <c r="F299" s="19"/>
      <c r="G299" s="20"/>
    </row>
    <row r="300" spans="6:7" s="18" customFormat="1" ht="14.25" customHeight="1" x14ac:dyDescent="0.35">
      <c r="F300" s="19"/>
      <c r="G300" s="20"/>
    </row>
    <row r="301" spans="6:7" s="18" customFormat="1" ht="14.25" customHeight="1" x14ac:dyDescent="0.35">
      <c r="F301" s="19"/>
      <c r="G301" s="20"/>
    </row>
    <row r="302" spans="6:7" s="18" customFormat="1" ht="14.25" customHeight="1" x14ac:dyDescent="0.35">
      <c r="F302" s="19"/>
      <c r="G302" s="20"/>
    </row>
    <row r="303" spans="6:7" s="18" customFormat="1" ht="14.25" customHeight="1" x14ac:dyDescent="0.35">
      <c r="F303" s="19"/>
      <c r="G303" s="20"/>
    </row>
    <row r="304" spans="6:7" s="18" customFormat="1" ht="14.25" customHeight="1" x14ac:dyDescent="0.35">
      <c r="F304" s="19"/>
      <c r="G304" s="20"/>
    </row>
    <row r="305" spans="6:7" s="18" customFormat="1" ht="14.25" customHeight="1" x14ac:dyDescent="0.35">
      <c r="F305" s="19"/>
      <c r="G305" s="20"/>
    </row>
    <row r="306" spans="6:7" s="18" customFormat="1" ht="14.25" customHeight="1" x14ac:dyDescent="0.35">
      <c r="F306" s="19"/>
      <c r="G306" s="20"/>
    </row>
    <row r="307" spans="6:7" s="18" customFormat="1" ht="14.25" customHeight="1" x14ac:dyDescent="0.35">
      <c r="F307" s="19"/>
      <c r="G307" s="20"/>
    </row>
    <row r="308" spans="6:7" s="18" customFormat="1" ht="14.25" customHeight="1" x14ac:dyDescent="0.35">
      <c r="F308" s="19"/>
      <c r="G308" s="20"/>
    </row>
    <row r="309" spans="6:7" s="18" customFormat="1" ht="14.25" customHeight="1" x14ac:dyDescent="0.35">
      <c r="F309" s="19"/>
      <c r="G309" s="20"/>
    </row>
    <row r="310" spans="6:7" s="18" customFormat="1" ht="14.25" customHeight="1" x14ac:dyDescent="0.35">
      <c r="F310" s="19"/>
      <c r="G310" s="20"/>
    </row>
    <row r="311" spans="6:7" s="18" customFormat="1" ht="14.25" customHeight="1" x14ac:dyDescent="0.35">
      <c r="F311" s="19"/>
      <c r="G311" s="20"/>
    </row>
    <row r="312" spans="6:7" s="18" customFormat="1" ht="14.25" customHeight="1" x14ac:dyDescent="0.35">
      <c r="F312" s="19"/>
      <c r="G312" s="20"/>
    </row>
    <row r="313" spans="6:7" s="18" customFormat="1" ht="14.25" customHeight="1" x14ac:dyDescent="0.35">
      <c r="F313" s="19"/>
      <c r="G313" s="20"/>
    </row>
    <row r="314" spans="6:7" s="18" customFormat="1" ht="14.25" customHeight="1" x14ac:dyDescent="0.35">
      <c r="F314" s="19"/>
      <c r="G314" s="20"/>
    </row>
    <row r="315" spans="6:7" s="18" customFormat="1" ht="14.25" customHeight="1" x14ac:dyDescent="0.35">
      <c r="F315" s="19"/>
      <c r="G315" s="20"/>
    </row>
    <row r="316" spans="6:7" s="18" customFormat="1" ht="14.25" customHeight="1" x14ac:dyDescent="0.35">
      <c r="F316" s="19"/>
      <c r="G316" s="20"/>
    </row>
    <row r="317" spans="6:7" s="18" customFormat="1" ht="14.25" customHeight="1" x14ac:dyDescent="0.35">
      <c r="F317" s="19"/>
      <c r="G317" s="20"/>
    </row>
    <row r="318" spans="6:7" s="18" customFormat="1" ht="14.25" customHeight="1" x14ac:dyDescent="0.35">
      <c r="F318" s="19"/>
      <c r="G318" s="20"/>
    </row>
    <row r="319" spans="6:7" s="18" customFormat="1" ht="14.25" customHeight="1" x14ac:dyDescent="0.35">
      <c r="F319" s="19"/>
      <c r="G319" s="20"/>
    </row>
    <row r="320" spans="6:7" s="18" customFormat="1" ht="14.25" customHeight="1" x14ac:dyDescent="0.35">
      <c r="F320" s="19"/>
      <c r="G320" s="20"/>
    </row>
    <row r="321" spans="6:7" s="18" customFormat="1" ht="14.25" customHeight="1" x14ac:dyDescent="0.35">
      <c r="F321" s="19"/>
      <c r="G321" s="20"/>
    </row>
    <row r="322" spans="6:7" s="18" customFormat="1" ht="14.25" customHeight="1" x14ac:dyDescent="0.35">
      <c r="F322" s="19"/>
      <c r="G322" s="20"/>
    </row>
    <row r="323" spans="6:7" s="18" customFormat="1" ht="14.25" customHeight="1" x14ac:dyDescent="0.35">
      <c r="F323" s="19"/>
      <c r="G323" s="20"/>
    </row>
    <row r="324" spans="6:7" s="18" customFormat="1" ht="14.25" customHeight="1" x14ac:dyDescent="0.35">
      <c r="F324" s="19"/>
      <c r="G324" s="20"/>
    </row>
    <row r="325" spans="6:7" s="18" customFormat="1" ht="14.25" customHeight="1" x14ac:dyDescent="0.35">
      <c r="F325" s="19"/>
      <c r="G325" s="20"/>
    </row>
    <row r="326" spans="6:7" s="18" customFormat="1" ht="14.25" customHeight="1" x14ac:dyDescent="0.35">
      <c r="F326" s="19"/>
      <c r="G326" s="20"/>
    </row>
    <row r="327" spans="6:7" s="18" customFormat="1" ht="14.25" customHeight="1" x14ac:dyDescent="0.35">
      <c r="F327" s="19"/>
      <c r="G327" s="20"/>
    </row>
    <row r="328" spans="6:7" s="18" customFormat="1" ht="14.25" customHeight="1" x14ac:dyDescent="0.35">
      <c r="F328" s="19"/>
      <c r="G328" s="20"/>
    </row>
    <row r="329" spans="6:7" s="18" customFormat="1" ht="14.25" customHeight="1" x14ac:dyDescent="0.35">
      <c r="F329" s="19"/>
      <c r="G329" s="20"/>
    </row>
    <row r="330" spans="6:7" s="18" customFormat="1" ht="14.25" customHeight="1" x14ac:dyDescent="0.35">
      <c r="F330" s="19"/>
      <c r="G330" s="20"/>
    </row>
    <row r="331" spans="6:7" s="18" customFormat="1" ht="14.25" customHeight="1" x14ac:dyDescent="0.35">
      <c r="F331" s="19"/>
      <c r="G331" s="20"/>
    </row>
    <row r="332" spans="6:7" s="18" customFormat="1" ht="14.25" customHeight="1" x14ac:dyDescent="0.35">
      <c r="F332" s="19"/>
      <c r="G332" s="20"/>
    </row>
    <row r="333" spans="6:7" s="18" customFormat="1" ht="14.25" customHeight="1" x14ac:dyDescent="0.35">
      <c r="F333" s="19"/>
      <c r="G333" s="20"/>
    </row>
    <row r="334" spans="6:7" s="18" customFormat="1" ht="14.25" customHeight="1" x14ac:dyDescent="0.35">
      <c r="F334" s="19"/>
      <c r="G334" s="20"/>
    </row>
    <row r="335" spans="6:7" s="18" customFormat="1" ht="14.25" customHeight="1" x14ac:dyDescent="0.35">
      <c r="F335" s="19"/>
      <c r="G335" s="20"/>
    </row>
    <row r="336" spans="6:7" s="18" customFormat="1" ht="14.25" customHeight="1" x14ac:dyDescent="0.35">
      <c r="F336" s="19"/>
      <c r="G336" s="20"/>
    </row>
    <row r="337" spans="6:7" s="18" customFormat="1" ht="14.25" customHeight="1" x14ac:dyDescent="0.35">
      <c r="F337" s="19"/>
      <c r="G337" s="20"/>
    </row>
    <row r="338" spans="6:7" s="18" customFormat="1" ht="14.25" customHeight="1" x14ac:dyDescent="0.35">
      <c r="F338" s="19"/>
      <c r="G338" s="20"/>
    </row>
    <row r="339" spans="6:7" s="18" customFormat="1" ht="14.25" customHeight="1" x14ac:dyDescent="0.35">
      <c r="F339" s="19"/>
      <c r="G339" s="20"/>
    </row>
    <row r="340" spans="6:7" s="18" customFormat="1" ht="14.25" customHeight="1" x14ac:dyDescent="0.35">
      <c r="F340" s="19"/>
      <c r="G340" s="20"/>
    </row>
    <row r="341" spans="6:7" s="18" customFormat="1" ht="14.25" customHeight="1" x14ac:dyDescent="0.35">
      <c r="F341" s="19"/>
      <c r="G341" s="20"/>
    </row>
    <row r="342" spans="6:7" s="18" customFormat="1" ht="14.25" customHeight="1" x14ac:dyDescent="0.35">
      <c r="F342" s="19"/>
      <c r="G342" s="20"/>
    </row>
    <row r="343" spans="6:7" s="18" customFormat="1" ht="14.25" customHeight="1" x14ac:dyDescent="0.35">
      <c r="F343" s="19"/>
      <c r="G343" s="20"/>
    </row>
    <row r="344" spans="6:7" s="18" customFormat="1" ht="14.25" customHeight="1" x14ac:dyDescent="0.35">
      <c r="F344" s="19"/>
      <c r="G344" s="20"/>
    </row>
    <row r="345" spans="6:7" s="18" customFormat="1" ht="14.25" customHeight="1" x14ac:dyDescent="0.35">
      <c r="F345" s="19"/>
      <c r="G345" s="20"/>
    </row>
    <row r="346" spans="6:7" s="18" customFormat="1" ht="14.25" customHeight="1" x14ac:dyDescent="0.35">
      <c r="F346" s="19"/>
      <c r="G346" s="20"/>
    </row>
    <row r="347" spans="6:7" s="18" customFormat="1" ht="14.25" customHeight="1" x14ac:dyDescent="0.35">
      <c r="F347" s="19"/>
      <c r="G347" s="20"/>
    </row>
    <row r="348" spans="6:7" s="18" customFormat="1" ht="14.25" customHeight="1" x14ac:dyDescent="0.35">
      <c r="F348" s="19"/>
      <c r="G348" s="20"/>
    </row>
    <row r="349" spans="6:7" s="18" customFormat="1" ht="14.25" customHeight="1" x14ac:dyDescent="0.35">
      <c r="F349" s="19"/>
      <c r="G349" s="20"/>
    </row>
    <row r="350" spans="6:7" s="18" customFormat="1" ht="14.25" customHeight="1" x14ac:dyDescent="0.35">
      <c r="F350" s="19"/>
      <c r="G350" s="20"/>
    </row>
    <row r="351" spans="6:7" s="18" customFormat="1" ht="14.25" customHeight="1" x14ac:dyDescent="0.35">
      <c r="F351" s="19"/>
      <c r="G351" s="20"/>
    </row>
    <row r="352" spans="6:7" s="18" customFormat="1" ht="14.25" customHeight="1" x14ac:dyDescent="0.35">
      <c r="F352" s="19"/>
      <c r="G352" s="20"/>
    </row>
    <row r="353" spans="6:7" s="18" customFormat="1" ht="14.25" customHeight="1" x14ac:dyDescent="0.35">
      <c r="F353" s="19"/>
      <c r="G353" s="20"/>
    </row>
    <row r="354" spans="6:7" s="18" customFormat="1" ht="14.25" customHeight="1" x14ac:dyDescent="0.35">
      <c r="F354" s="19"/>
      <c r="G354" s="20"/>
    </row>
    <row r="355" spans="6:7" s="18" customFormat="1" ht="14.25" customHeight="1" x14ac:dyDescent="0.35">
      <c r="F355" s="19"/>
      <c r="G355" s="20"/>
    </row>
    <row r="356" spans="6:7" s="18" customFormat="1" ht="14.25" customHeight="1" x14ac:dyDescent="0.35">
      <c r="F356" s="19"/>
      <c r="G356" s="20"/>
    </row>
    <row r="357" spans="6:7" s="18" customFormat="1" ht="14.25" customHeight="1" x14ac:dyDescent="0.35">
      <c r="F357" s="19"/>
      <c r="G357" s="20"/>
    </row>
    <row r="358" spans="6:7" s="18" customFormat="1" ht="14.25" customHeight="1" x14ac:dyDescent="0.35">
      <c r="F358" s="19"/>
      <c r="G358" s="20"/>
    </row>
    <row r="359" spans="6:7" s="18" customFormat="1" ht="14.25" customHeight="1" x14ac:dyDescent="0.35">
      <c r="F359" s="19"/>
      <c r="G359" s="20"/>
    </row>
    <row r="360" spans="6:7" s="18" customFormat="1" ht="14.25" customHeight="1" x14ac:dyDescent="0.35">
      <c r="F360" s="19"/>
      <c r="G360" s="20"/>
    </row>
    <row r="361" spans="6:7" s="18" customFormat="1" ht="14.25" customHeight="1" x14ac:dyDescent="0.35">
      <c r="F361" s="19"/>
      <c r="G361" s="20"/>
    </row>
    <row r="362" spans="6:7" s="18" customFormat="1" ht="14.25" customHeight="1" x14ac:dyDescent="0.35">
      <c r="F362" s="19"/>
      <c r="G362" s="20"/>
    </row>
    <row r="363" spans="6:7" s="18" customFormat="1" ht="14.25" customHeight="1" x14ac:dyDescent="0.35">
      <c r="F363" s="19"/>
      <c r="G363" s="20"/>
    </row>
    <row r="364" spans="6:7" s="18" customFormat="1" ht="14.25" customHeight="1" x14ac:dyDescent="0.35">
      <c r="F364" s="19"/>
      <c r="G364" s="20"/>
    </row>
    <row r="365" spans="6:7" s="18" customFormat="1" ht="14.25" customHeight="1" x14ac:dyDescent="0.35">
      <c r="F365" s="19"/>
      <c r="G365" s="20"/>
    </row>
    <row r="366" spans="6:7" s="18" customFormat="1" ht="14.25" customHeight="1" x14ac:dyDescent="0.35">
      <c r="F366" s="19"/>
      <c r="G366" s="20"/>
    </row>
    <row r="367" spans="6:7" s="18" customFormat="1" ht="14.25" customHeight="1" x14ac:dyDescent="0.35">
      <c r="F367" s="19"/>
      <c r="G367" s="20"/>
    </row>
    <row r="368" spans="6:7" s="18" customFormat="1" ht="14.25" customHeight="1" x14ac:dyDescent="0.35">
      <c r="F368" s="19"/>
      <c r="G368" s="20"/>
    </row>
    <row r="369" spans="6:7" s="18" customFormat="1" ht="14.25" customHeight="1" x14ac:dyDescent="0.35">
      <c r="F369" s="19"/>
      <c r="G369" s="20"/>
    </row>
    <row r="370" spans="6:7" s="18" customFormat="1" ht="14.25" customHeight="1" x14ac:dyDescent="0.35">
      <c r="F370" s="19"/>
      <c r="G370" s="20"/>
    </row>
    <row r="371" spans="6:7" s="18" customFormat="1" ht="14.25" customHeight="1" x14ac:dyDescent="0.35">
      <c r="F371" s="19"/>
      <c r="G371" s="20"/>
    </row>
    <row r="372" spans="6:7" s="18" customFormat="1" ht="14.25" customHeight="1" x14ac:dyDescent="0.35">
      <c r="F372" s="19"/>
      <c r="G372" s="20"/>
    </row>
    <row r="373" spans="6:7" s="18" customFormat="1" ht="14.25" customHeight="1" x14ac:dyDescent="0.35">
      <c r="F373" s="19"/>
      <c r="G373" s="20"/>
    </row>
    <row r="374" spans="6:7" s="18" customFormat="1" ht="14.25" customHeight="1" x14ac:dyDescent="0.35">
      <c r="F374" s="19"/>
      <c r="G374" s="20"/>
    </row>
    <row r="375" spans="6:7" s="18" customFormat="1" ht="14.25" customHeight="1" x14ac:dyDescent="0.35">
      <c r="F375" s="19"/>
      <c r="G375" s="20"/>
    </row>
    <row r="376" spans="6:7" s="18" customFormat="1" ht="14.25" customHeight="1" x14ac:dyDescent="0.35">
      <c r="F376" s="19"/>
      <c r="G376" s="20"/>
    </row>
    <row r="377" spans="6:7" s="18" customFormat="1" ht="14.25" customHeight="1" x14ac:dyDescent="0.35">
      <c r="F377" s="19"/>
      <c r="G377" s="20"/>
    </row>
    <row r="378" spans="6:7" s="18" customFormat="1" ht="14.25" customHeight="1" x14ac:dyDescent="0.35">
      <c r="F378" s="19"/>
      <c r="G378" s="20"/>
    </row>
    <row r="379" spans="6:7" s="18" customFormat="1" ht="14.25" customHeight="1" x14ac:dyDescent="0.35">
      <c r="F379" s="19"/>
      <c r="G379" s="20"/>
    </row>
    <row r="380" spans="6:7" s="18" customFormat="1" ht="14.25" customHeight="1" x14ac:dyDescent="0.35">
      <c r="F380" s="19"/>
      <c r="G380" s="20"/>
    </row>
    <row r="381" spans="6:7" s="18" customFormat="1" ht="14.25" customHeight="1" x14ac:dyDescent="0.35">
      <c r="F381" s="19"/>
      <c r="G381" s="20"/>
    </row>
    <row r="382" spans="6:7" s="18" customFormat="1" ht="14.25" customHeight="1" x14ac:dyDescent="0.35">
      <c r="F382" s="19"/>
      <c r="G382" s="20"/>
    </row>
    <row r="383" spans="6:7" s="18" customFormat="1" ht="14.25" customHeight="1" x14ac:dyDescent="0.35">
      <c r="F383" s="19"/>
      <c r="G383" s="20"/>
    </row>
    <row r="384" spans="6:7" s="18" customFormat="1" ht="14.25" customHeight="1" x14ac:dyDescent="0.35">
      <c r="F384" s="19"/>
      <c r="G384" s="20"/>
    </row>
    <row r="385" spans="6:7" s="18" customFormat="1" ht="14.25" customHeight="1" x14ac:dyDescent="0.35">
      <c r="F385" s="19"/>
      <c r="G385" s="20"/>
    </row>
    <row r="386" spans="6:7" s="18" customFormat="1" ht="14.25" customHeight="1" x14ac:dyDescent="0.35">
      <c r="F386" s="19"/>
      <c r="G386" s="20"/>
    </row>
    <row r="387" spans="6:7" s="18" customFormat="1" ht="14.25" customHeight="1" x14ac:dyDescent="0.35">
      <c r="F387" s="19"/>
      <c r="G387" s="20"/>
    </row>
    <row r="388" spans="6:7" s="18" customFormat="1" ht="14.25" customHeight="1" x14ac:dyDescent="0.35">
      <c r="F388" s="19"/>
      <c r="G388" s="20"/>
    </row>
    <row r="389" spans="6:7" s="18" customFormat="1" ht="14.25" customHeight="1" x14ac:dyDescent="0.35">
      <c r="F389" s="19"/>
      <c r="G389" s="20"/>
    </row>
    <row r="390" spans="6:7" s="18" customFormat="1" ht="14.25" customHeight="1" x14ac:dyDescent="0.35">
      <c r="F390" s="19"/>
      <c r="G390" s="20"/>
    </row>
    <row r="391" spans="6:7" s="18" customFormat="1" ht="14.25" customHeight="1" x14ac:dyDescent="0.35">
      <c r="F391" s="19"/>
      <c r="G391" s="20"/>
    </row>
    <row r="392" spans="6:7" s="18" customFormat="1" ht="14.25" customHeight="1" x14ac:dyDescent="0.35">
      <c r="F392" s="19"/>
      <c r="G392" s="20"/>
    </row>
    <row r="393" spans="6:7" s="18" customFormat="1" ht="14.25" customHeight="1" x14ac:dyDescent="0.35">
      <c r="F393" s="19"/>
      <c r="G393" s="20"/>
    </row>
    <row r="394" spans="6:7" s="18" customFormat="1" ht="14.25" customHeight="1" x14ac:dyDescent="0.35">
      <c r="F394" s="19"/>
      <c r="G394" s="20"/>
    </row>
    <row r="395" spans="6:7" s="18" customFormat="1" ht="14.25" customHeight="1" x14ac:dyDescent="0.35">
      <c r="F395" s="19"/>
      <c r="G395" s="20"/>
    </row>
    <row r="396" spans="6:7" s="18" customFormat="1" ht="14.25" customHeight="1" x14ac:dyDescent="0.35">
      <c r="F396" s="19"/>
      <c r="G396" s="20"/>
    </row>
    <row r="397" spans="6:7" s="18" customFormat="1" ht="14.25" customHeight="1" x14ac:dyDescent="0.35">
      <c r="F397" s="19"/>
      <c r="G397" s="20"/>
    </row>
    <row r="398" spans="6:7" s="18" customFormat="1" ht="14.25" customHeight="1" x14ac:dyDescent="0.35">
      <c r="F398" s="19"/>
      <c r="G398" s="20"/>
    </row>
    <row r="399" spans="6:7" s="18" customFormat="1" ht="14.25" customHeight="1" x14ac:dyDescent="0.35">
      <c r="F399" s="19"/>
      <c r="G399" s="20"/>
    </row>
    <row r="400" spans="6:7" s="18" customFormat="1" ht="14.25" customHeight="1" x14ac:dyDescent="0.35">
      <c r="F400" s="19"/>
      <c r="G400" s="20"/>
    </row>
    <row r="401" spans="6:7" s="18" customFormat="1" ht="14.25" customHeight="1" x14ac:dyDescent="0.35">
      <c r="F401" s="19"/>
      <c r="G401" s="20"/>
    </row>
    <row r="402" spans="6:7" s="18" customFormat="1" ht="14.25" customHeight="1" x14ac:dyDescent="0.35">
      <c r="F402" s="19"/>
      <c r="G402" s="20"/>
    </row>
    <row r="403" spans="6:7" s="18" customFormat="1" ht="14.25" customHeight="1" x14ac:dyDescent="0.35">
      <c r="F403" s="19"/>
      <c r="G403" s="20"/>
    </row>
    <row r="404" spans="6:7" s="18" customFormat="1" ht="14.25" customHeight="1" x14ac:dyDescent="0.35">
      <c r="F404" s="19"/>
      <c r="G404" s="20"/>
    </row>
    <row r="405" spans="6:7" s="18" customFormat="1" ht="14.25" customHeight="1" x14ac:dyDescent="0.35">
      <c r="F405" s="19"/>
      <c r="G405" s="20"/>
    </row>
    <row r="406" spans="6:7" s="18" customFormat="1" ht="14.25" customHeight="1" x14ac:dyDescent="0.35">
      <c r="F406" s="19"/>
      <c r="G406" s="20"/>
    </row>
    <row r="407" spans="6:7" s="18" customFormat="1" ht="14.25" customHeight="1" x14ac:dyDescent="0.35">
      <c r="F407" s="19"/>
      <c r="G407" s="20"/>
    </row>
    <row r="408" spans="6:7" s="18" customFormat="1" ht="14.25" customHeight="1" x14ac:dyDescent="0.35">
      <c r="F408" s="19"/>
      <c r="G408" s="20"/>
    </row>
    <row r="409" spans="6:7" s="18" customFormat="1" ht="14.25" customHeight="1" x14ac:dyDescent="0.35">
      <c r="F409" s="19"/>
      <c r="G409" s="20"/>
    </row>
    <row r="410" spans="6:7" s="18" customFormat="1" ht="14.25" customHeight="1" x14ac:dyDescent="0.35">
      <c r="F410" s="19"/>
      <c r="G410" s="20"/>
    </row>
    <row r="411" spans="6:7" s="18" customFormat="1" ht="14.25" customHeight="1" x14ac:dyDescent="0.35">
      <c r="F411" s="19"/>
      <c r="G411" s="20"/>
    </row>
    <row r="412" spans="6:7" s="18" customFormat="1" ht="14.25" customHeight="1" x14ac:dyDescent="0.35">
      <c r="F412" s="19"/>
      <c r="G412" s="20"/>
    </row>
    <row r="413" spans="6:7" s="18" customFormat="1" ht="14.25" customHeight="1" x14ac:dyDescent="0.35">
      <c r="F413" s="19"/>
      <c r="G413" s="20"/>
    </row>
    <row r="414" spans="6:7" s="18" customFormat="1" ht="14.25" customHeight="1" x14ac:dyDescent="0.35">
      <c r="F414" s="19"/>
      <c r="G414" s="20"/>
    </row>
    <row r="415" spans="6:7" s="18" customFormat="1" ht="14.25" customHeight="1" x14ac:dyDescent="0.35">
      <c r="F415" s="19"/>
      <c r="G415" s="20"/>
    </row>
    <row r="416" spans="6:7" s="18" customFormat="1" ht="14.25" customHeight="1" x14ac:dyDescent="0.35">
      <c r="F416" s="19"/>
      <c r="G416" s="20"/>
    </row>
    <row r="417" spans="6:7" s="18" customFormat="1" ht="14.25" customHeight="1" x14ac:dyDescent="0.35">
      <c r="F417" s="19"/>
      <c r="G417" s="20"/>
    </row>
    <row r="418" spans="6:7" s="18" customFormat="1" ht="14.25" customHeight="1" x14ac:dyDescent="0.35">
      <c r="F418" s="19"/>
      <c r="G418" s="20"/>
    </row>
    <row r="419" spans="6:7" s="18" customFormat="1" ht="14.25" customHeight="1" x14ac:dyDescent="0.35">
      <c r="F419" s="19"/>
      <c r="G419" s="20"/>
    </row>
    <row r="420" spans="6:7" s="18" customFormat="1" ht="14.25" customHeight="1" x14ac:dyDescent="0.35">
      <c r="F420" s="19"/>
      <c r="G420" s="20"/>
    </row>
    <row r="421" spans="6:7" s="18" customFormat="1" ht="14.25" customHeight="1" x14ac:dyDescent="0.35">
      <c r="F421" s="19"/>
      <c r="G421" s="20"/>
    </row>
    <row r="422" spans="6:7" s="18" customFormat="1" ht="14.25" customHeight="1" x14ac:dyDescent="0.35">
      <c r="F422" s="19"/>
      <c r="G422" s="20"/>
    </row>
    <row r="423" spans="6:7" s="18" customFormat="1" ht="14.25" customHeight="1" x14ac:dyDescent="0.35">
      <c r="F423" s="19"/>
      <c r="G423" s="20"/>
    </row>
    <row r="424" spans="6:7" s="18" customFormat="1" ht="14.25" customHeight="1" x14ac:dyDescent="0.35">
      <c r="F424" s="19"/>
      <c r="G424" s="20"/>
    </row>
    <row r="425" spans="6:7" s="18" customFormat="1" ht="14.25" customHeight="1" x14ac:dyDescent="0.35">
      <c r="F425" s="19"/>
      <c r="G425" s="20"/>
    </row>
    <row r="426" spans="6:7" s="18" customFormat="1" ht="14.25" customHeight="1" x14ac:dyDescent="0.35">
      <c r="F426" s="19"/>
      <c r="G426" s="20"/>
    </row>
    <row r="427" spans="6:7" s="18" customFormat="1" ht="14.25" customHeight="1" x14ac:dyDescent="0.35">
      <c r="F427" s="19"/>
      <c r="G427" s="20"/>
    </row>
    <row r="428" spans="6:7" s="18" customFormat="1" ht="14.25" customHeight="1" x14ac:dyDescent="0.35">
      <c r="F428" s="19"/>
      <c r="G428" s="20"/>
    </row>
    <row r="429" spans="6:7" s="18" customFormat="1" ht="14.25" customHeight="1" x14ac:dyDescent="0.35">
      <c r="F429" s="19"/>
      <c r="G429" s="20"/>
    </row>
    <row r="430" spans="6:7" s="18" customFormat="1" ht="14.25" customHeight="1" x14ac:dyDescent="0.35">
      <c r="F430" s="19"/>
      <c r="G430" s="20"/>
    </row>
    <row r="431" spans="6:7" s="18" customFormat="1" ht="14.25" customHeight="1" x14ac:dyDescent="0.35">
      <c r="F431" s="19"/>
      <c r="G431" s="20"/>
    </row>
    <row r="432" spans="6:7" s="18" customFormat="1" ht="14.25" customHeight="1" x14ac:dyDescent="0.35">
      <c r="F432" s="19"/>
      <c r="G432" s="20"/>
    </row>
    <row r="433" spans="6:7" s="18" customFormat="1" ht="14.25" customHeight="1" x14ac:dyDescent="0.35">
      <c r="F433" s="19"/>
      <c r="G433" s="20"/>
    </row>
    <row r="434" spans="6:7" s="18" customFormat="1" ht="14.25" customHeight="1" x14ac:dyDescent="0.35">
      <c r="F434" s="19"/>
      <c r="G434" s="20"/>
    </row>
    <row r="435" spans="6:7" s="18" customFormat="1" ht="14.25" customHeight="1" x14ac:dyDescent="0.35">
      <c r="F435" s="19"/>
      <c r="G435" s="20"/>
    </row>
    <row r="436" spans="6:7" s="18" customFormat="1" ht="14.25" customHeight="1" x14ac:dyDescent="0.35">
      <c r="F436" s="19"/>
      <c r="G436" s="20"/>
    </row>
    <row r="437" spans="6:7" s="18" customFormat="1" ht="14.25" customHeight="1" x14ac:dyDescent="0.35">
      <c r="F437" s="19"/>
      <c r="G437" s="20"/>
    </row>
    <row r="438" spans="6:7" s="18" customFormat="1" ht="14.25" customHeight="1" x14ac:dyDescent="0.35">
      <c r="F438" s="19"/>
      <c r="G438" s="20"/>
    </row>
    <row r="439" spans="6:7" s="18" customFormat="1" ht="14.25" customHeight="1" x14ac:dyDescent="0.35">
      <c r="F439" s="19"/>
      <c r="G439" s="20"/>
    </row>
    <row r="440" spans="6:7" s="18" customFormat="1" ht="14.25" customHeight="1" x14ac:dyDescent="0.35">
      <c r="F440" s="19"/>
      <c r="G440" s="20"/>
    </row>
    <row r="441" spans="6:7" s="18" customFormat="1" ht="14.25" customHeight="1" x14ac:dyDescent="0.35">
      <c r="F441" s="19"/>
      <c r="G441" s="20"/>
    </row>
    <row r="442" spans="6:7" s="18" customFormat="1" ht="14.25" customHeight="1" x14ac:dyDescent="0.35">
      <c r="F442" s="19"/>
      <c r="G442" s="20"/>
    </row>
    <row r="443" spans="6:7" s="18" customFormat="1" ht="14.25" customHeight="1" x14ac:dyDescent="0.35">
      <c r="F443" s="19"/>
      <c r="G443" s="20"/>
    </row>
    <row r="444" spans="6:7" s="18" customFormat="1" ht="14.25" customHeight="1" x14ac:dyDescent="0.35">
      <c r="F444" s="19"/>
      <c r="G444" s="20"/>
    </row>
    <row r="445" spans="6:7" s="18" customFormat="1" ht="14.25" customHeight="1" x14ac:dyDescent="0.35">
      <c r="F445" s="19"/>
      <c r="G445" s="20"/>
    </row>
    <row r="446" spans="6:7" s="18" customFormat="1" ht="14.25" customHeight="1" x14ac:dyDescent="0.35">
      <c r="F446" s="19"/>
      <c r="G446" s="20"/>
    </row>
    <row r="447" spans="6:7" s="18" customFormat="1" ht="14.25" customHeight="1" x14ac:dyDescent="0.35">
      <c r="F447" s="19"/>
      <c r="G447" s="20"/>
    </row>
    <row r="448" spans="6:7" s="18" customFormat="1" ht="14.25" customHeight="1" x14ac:dyDescent="0.35">
      <c r="F448" s="19"/>
      <c r="G448" s="20"/>
    </row>
    <row r="449" spans="6:7" s="18" customFormat="1" ht="14.25" customHeight="1" x14ac:dyDescent="0.35">
      <c r="F449" s="19"/>
      <c r="G449" s="20"/>
    </row>
    <row r="450" spans="6:7" s="18" customFormat="1" ht="14.25" customHeight="1" x14ac:dyDescent="0.35">
      <c r="F450" s="19"/>
      <c r="G450" s="20"/>
    </row>
    <row r="451" spans="6:7" s="18" customFormat="1" ht="14.25" customHeight="1" x14ac:dyDescent="0.35">
      <c r="F451" s="19"/>
      <c r="G451" s="20"/>
    </row>
    <row r="452" spans="6:7" s="18" customFormat="1" ht="14.25" customHeight="1" x14ac:dyDescent="0.35">
      <c r="F452" s="19"/>
      <c r="G452" s="20"/>
    </row>
    <row r="453" spans="6:7" s="18" customFormat="1" ht="14.25" customHeight="1" x14ac:dyDescent="0.35">
      <c r="F453" s="19"/>
      <c r="G453" s="20"/>
    </row>
    <row r="454" spans="6:7" s="18" customFormat="1" ht="14.25" customHeight="1" x14ac:dyDescent="0.35">
      <c r="F454" s="19"/>
      <c r="G454" s="20"/>
    </row>
    <row r="455" spans="6:7" s="18" customFormat="1" ht="14.25" customHeight="1" x14ac:dyDescent="0.35">
      <c r="F455" s="19"/>
      <c r="G455" s="20"/>
    </row>
    <row r="456" spans="6:7" s="18" customFormat="1" ht="14.25" customHeight="1" x14ac:dyDescent="0.35">
      <c r="F456" s="19"/>
      <c r="G456" s="20"/>
    </row>
    <row r="457" spans="6:7" s="18" customFormat="1" ht="14.25" customHeight="1" x14ac:dyDescent="0.35">
      <c r="F457" s="19"/>
      <c r="G457" s="20"/>
    </row>
    <row r="458" spans="6:7" s="18" customFormat="1" ht="14.25" customHeight="1" x14ac:dyDescent="0.35">
      <c r="F458" s="19"/>
      <c r="G458" s="20"/>
    </row>
    <row r="459" spans="6:7" s="18" customFormat="1" ht="14.25" customHeight="1" x14ac:dyDescent="0.35">
      <c r="F459" s="19"/>
      <c r="G459" s="20"/>
    </row>
    <row r="460" spans="6:7" s="18" customFormat="1" ht="14.25" customHeight="1" x14ac:dyDescent="0.35">
      <c r="F460" s="19"/>
      <c r="G460" s="20"/>
    </row>
    <row r="461" spans="6:7" s="18" customFormat="1" ht="14.25" customHeight="1" x14ac:dyDescent="0.35">
      <c r="F461" s="19"/>
      <c r="G461" s="20"/>
    </row>
    <row r="462" spans="6:7" s="18" customFormat="1" ht="14.25" customHeight="1" x14ac:dyDescent="0.35">
      <c r="F462" s="19"/>
      <c r="G462" s="20"/>
    </row>
    <row r="463" spans="6:7" s="18" customFormat="1" ht="14.25" customHeight="1" x14ac:dyDescent="0.35">
      <c r="F463" s="19"/>
      <c r="G463" s="20"/>
    </row>
    <row r="464" spans="6:7" s="18" customFormat="1" ht="14.25" customHeight="1" x14ac:dyDescent="0.35">
      <c r="F464" s="19"/>
      <c r="G464" s="20"/>
    </row>
    <row r="465" spans="6:7" s="18" customFormat="1" ht="14.25" customHeight="1" x14ac:dyDescent="0.35">
      <c r="F465" s="19"/>
      <c r="G465" s="20"/>
    </row>
    <row r="466" spans="6:7" s="18" customFormat="1" ht="14.25" customHeight="1" x14ac:dyDescent="0.35">
      <c r="F466" s="19"/>
      <c r="G466" s="20"/>
    </row>
    <row r="467" spans="6:7" s="18" customFormat="1" ht="14.25" customHeight="1" x14ac:dyDescent="0.35">
      <c r="F467" s="19"/>
      <c r="G467" s="20"/>
    </row>
    <row r="468" spans="6:7" s="18" customFormat="1" ht="14.25" customHeight="1" x14ac:dyDescent="0.35">
      <c r="F468" s="19"/>
      <c r="G468" s="20"/>
    </row>
    <row r="469" spans="6:7" s="18" customFormat="1" ht="14.25" customHeight="1" x14ac:dyDescent="0.35">
      <c r="F469" s="19"/>
      <c r="G469" s="20"/>
    </row>
    <row r="470" spans="6:7" s="18" customFormat="1" ht="14.25" customHeight="1" x14ac:dyDescent="0.35">
      <c r="F470" s="19"/>
      <c r="G470" s="20"/>
    </row>
    <row r="471" spans="6:7" s="18" customFormat="1" ht="14.25" customHeight="1" x14ac:dyDescent="0.35">
      <c r="F471" s="19"/>
      <c r="G471" s="20"/>
    </row>
    <row r="472" spans="6:7" s="18" customFormat="1" ht="14.25" customHeight="1" x14ac:dyDescent="0.35">
      <c r="F472" s="19"/>
      <c r="G472" s="20"/>
    </row>
    <row r="473" spans="6:7" s="18" customFormat="1" ht="14.25" customHeight="1" x14ac:dyDescent="0.35">
      <c r="F473" s="19"/>
      <c r="G473" s="20"/>
    </row>
    <row r="474" spans="6:7" s="18" customFormat="1" ht="14.25" customHeight="1" x14ac:dyDescent="0.35">
      <c r="F474" s="19"/>
      <c r="G474" s="20"/>
    </row>
    <row r="475" spans="6:7" s="18" customFormat="1" ht="14.25" customHeight="1" x14ac:dyDescent="0.35">
      <c r="F475" s="19"/>
      <c r="G475" s="20"/>
    </row>
    <row r="476" spans="6:7" s="18" customFormat="1" ht="14.25" customHeight="1" x14ac:dyDescent="0.35">
      <c r="F476" s="19"/>
      <c r="G476" s="20"/>
    </row>
    <row r="477" spans="6:7" s="18" customFormat="1" ht="14.25" customHeight="1" x14ac:dyDescent="0.35">
      <c r="F477" s="19"/>
      <c r="G477" s="20"/>
    </row>
    <row r="478" spans="6:7" s="18" customFormat="1" ht="14.25" customHeight="1" x14ac:dyDescent="0.35">
      <c r="F478" s="19"/>
      <c r="G478" s="20"/>
    </row>
    <row r="479" spans="6:7" s="18" customFormat="1" ht="14.25" customHeight="1" x14ac:dyDescent="0.35">
      <c r="F479" s="19"/>
      <c r="G479" s="20"/>
    </row>
    <row r="480" spans="6:7" s="18" customFormat="1" ht="14.25" customHeight="1" x14ac:dyDescent="0.35">
      <c r="F480" s="19"/>
      <c r="G480" s="20"/>
    </row>
    <row r="481" spans="6:7" s="18" customFormat="1" ht="14.25" customHeight="1" x14ac:dyDescent="0.35">
      <c r="F481" s="19"/>
      <c r="G481" s="20"/>
    </row>
    <row r="482" spans="6:7" s="18" customFormat="1" ht="14.25" customHeight="1" x14ac:dyDescent="0.35">
      <c r="F482" s="19"/>
      <c r="G482" s="20"/>
    </row>
    <row r="483" spans="6:7" s="18" customFormat="1" ht="14.25" customHeight="1" x14ac:dyDescent="0.35">
      <c r="F483" s="19"/>
      <c r="G483" s="20"/>
    </row>
    <row r="484" spans="6:7" s="18" customFormat="1" ht="14.25" customHeight="1" x14ac:dyDescent="0.35">
      <c r="F484" s="19"/>
      <c r="G484" s="20"/>
    </row>
    <row r="485" spans="6:7" s="18" customFormat="1" ht="14.25" customHeight="1" x14ac:dyDescent="0.35">
      <c r="F485" s="19"/>
      <c r="G485" s="20"/>
    </row>
    <row r="486" spans="6:7" s="18" customFormat="1" ht="14.25" customHeight="1" x14ac:dyDescent="0.35">
      <c r="F486" s="19"/>
      <c r="G486" s="20"/>
    </row>
    <row r="487" spans="6:7" s="18" customFormat="1" ht="14.25" customHeight="1" x14ac:dyDescent="0.35">
      <c r="F487" s="19"/>
      <c r="G487" s="20"/>
    </row>
    <row r="488" spans="6:7" s="18" customFormat="1" ht="14.25" customHeight="1" x14ac:dyDescent="0.35">
      <c r="F488" s="19"/>
      <c r="G488" s="20"/>
    </row>
    <row r="489" spans="6:7" s="18" customFormat="1" ht="14.25" customHeight="1" x14ac:dyDescent="0.35">
      <c r="F489" s="19"/>
      <c r="G489" s="20"/>
    </row>
    <row r="490" spans="6:7" s="18" customFormat="1" ht="14.25" customHeight="1" x14ac:dyDescent="0.35">
      <c r="F490" s="19"/>
      <c r="G490" s="20"/>
    </row>
    <row r="491" spans="6:7" ht="14.25" customHeight="1" x14ac:dyDescent="0.35">
      <c r="F491" s="2"/>
      <c r="G491" s="3"/>
    </row>
    <row r="492" spans="6:7" ht="14.25" customHeight="1" x14ac:dyDescent="0.35">
      <c r="F492" s="2"/>
      <c r="G492" s="3"/>
    </row>
    <row r="493" spans="6:7" ht="14.25" customHeight="1" x14ac:dyDescent="0.35">
      <c r="F493" s="2"/>
      <c r="G493" s="3"/>
    </row>
    <row r="494" spans="6:7" ht="14.25" customHeight="1" x14ac:dyDescent="0.35">
      <c r="F494" s="2"/>
      <c r="G494" s="3"/>
    </row>
    <row r="495" spans="6:7" ht="14.25" customHeight="1" x14ac:dyDescent="0.35">
      <c r="F495" s="2"/>
      <c r="G495" s="3"/>
    </row>
    <row r="496" spans="6:7" ht="14.25" customHeight="1" x14ac:dyDescent="0.35">
      <c r="F496" s="2"/>
      <c r="G496" s="3"/>
    </row>
    <row r="497" spans="6:7" ht="14.25" customHeight="1" x14ac:dyDescent="0.35">
      <c r="F497" s="2"/>
      <c r="G497" s="3"/>
    </row>
    <row r="498" spans="6:7" ht="14.25" customHeight="1" x14ac:dyDescent="0.35">
      <c r="F498" s="2"/>
      <c r="G498" s="3"/>
    </row>
    <row r="499" spans="6:7" ht="14.25" customHeight="1" x14ac:dyDescent="0.35">
      <c r="F499" s="2"/>
      <c r="G499" s="3"/>
    </row>
    <row r="500" spans="6:7" ht="14.25" customHeight="1" x14ac:dyDescent="0.35">
      <c r="F500" s="2"/>
      <c r="G500" s="3"/>
    </row>
    <row r="501" spans="6:7" ht="14.25" customHeight="1" x14ac:dyDescent="0.35">
      <c r="F501" s="2"/>
      <c r="G501" s="3"/>
    </row>
    <row r="502" spans="6:7" ht="14.25" customHeight="1" x14ac:dyDescent="0.35">
      <c r="F502" s="2"/>
      <c r="G502" s="3"/>
    </row>
    <row r="503" spans="6:7" ht="14.25" customHeight="1" x14ac:dyDescent="0.35">
      <c r="F503" s="2"/>
      <c r="G503" s="3"/>
    </row>
    <row r="504" spans="6:7" ht="14.25" customHeight="1" x14ac:dyDescent="0.35">
      <c r="F504" s="2"/>
      <c r="G504" s="3"/>
    </row>
    <row r="505" spans="6:7" ht="14.25" customHeight="1" x14ac:dyDescent="0.35">
      <c r="F505" s="2"/>
      <c r="G505" s="3"/>
    </row>
    <row r="506" spans="6:7" ht="14.25" customHeight="1" x14ac:dyDescent="0.35">
      <c r="F506" s="2"/>
      <c r="G506" s="3"/>
    </row>
    <row r="507" spans="6:7" ht="14.25" customHeight="1" x14ac:dyDescent="0.35">
      <c r="F507" s="2"/>
      <c r="G507" s="3"/>
    </row>
    <row r="508" spans="6:7" ht="14.25" customHeight="1" x14ac:dyDescent="0.35">
      <c r="F508" s="2"/>
      <c r="G508" s="3"/>
    </row>
    <row r="509" spans="6:7" ht="14.25" customHeight="1" x14ac:dyDescent="0.35">
      <c r="F509" s="2"/>
      <c r="G509" s="3"/>
    </row>
    <row r="510" spans="6:7" ht="14.25" customHeight="1" x14ac:dyDescent="0.35">
      <c r="F510" s="2"/>
      <c r="G510" s="3"/>
    </row>
    <row r="511" spans="6:7" ht="14.25" customHeight="1" x14ac:dyDescent="0.35">
      <c r="F511" s="2"/>
      <c r="G511" s="3"/>
    </row>
    <row r="512" spans="6:7" ht="14.25" customHeight="1" x14ac:dyDescent="0.35">
      <c r="F512" s="2"/>
      <c r="G512" s="3"/>
    </row>
    <row r="513" spans="6:7" ht="14.25" customHeight="1" x14ac:dyDescent="0.35">
      <c r="F513" s="2"/>
      <c r="G513" s="3"/>
    </row>
    <row r="514" spans="6:7" ht="14.25" customHeight="1" x14ac:dyDescent="0.35">
      <c r="F514" s="2"/>
      <c r="G514" s="3"/>
    </row>
    <row r="515" spans="6:7" ht="14.25" customHeight="1" x14ac:dyDescent="0.35">
      <c r="F515" s="2"/>
      <c r="G515" s="3"/>
    </row>
    <row r="516" spans="6:7" ht="14.25" customHeight="1" x14ac:dyDescent="0.35">
      <c r="F516" s="2"/>
      <c r="G516" s="3"/>
    </row>
    <row r="517" spans="6:7" ht="14.25" customHeight="1" x14ac:dyDescent="0.35">
      <c r="F517" s="2"/>
      <c r="G517" s="3"/>
    </row>
    <row r="518" spans="6:7" ht="14.25" customHeight="1" x14ac:dyDescent="0.35">
      <c r="F518" s="2"/>
      <c r="G518" s="3"/>
    </row>
    <row r="519" spans="6:7" ht="14.25" customHeight="1" x14ac:dyDescent="0.35">
      <c r="F519" s="2"/>
      <c r="G519" s="3"/>
    </row>
    <row r="520" spans="6:7" ht="14.25" customHeight="1" x14ac:dyDescent="0.35">
      <c r="F520" s="2"/>
      <c r="G520" s="3"/>
    </row>
    <row r="521" spans="6:7" ht="14.25" customHeight="1" x14ac:dyDescent="0.35">
      <c r="F521" s="2"/>
      <c r="G521" s="3"/>
    </row>
    <row r="522" spans="6:7" ht="14.25" customHeight="1" x14ac:dyDescent="0.35">
      <c r="F522" s="2"/>
      <c r="G522" s="3"/>
    </row>
    <row r="523" spans="6:7" ht="14.25" customHeight="1" x14ac:dyDescent="0.35">
      <c r="F523" s="2"/>
      <c r="G523" s="3"/>
    </row>
    <row r="524" spans="6:7" ht="14.25" customHeight="1" x14ac:dyDescent="0.35">
      <c r="F524" s="2"/>
      <c r="G524" s="3"/>
    </row>
    <row r="525" spans="6:7" ht="14.25" customHeight="1" x14ac:dyDescent="0.35">
      <c r="F525" s="2"/>
      <c r="G525" s="3"/>
    </row>
    <row r="526" spans="6:7" ht="14.25" customHeight="1" x14ac:dyDescent="0.35">
      <c r="F526" s="2"/>
      <c r="G526" s="3"/>
    </row>
    <row r="527" spans="6:7" ht="14.25" customHeight="1" x14ac:dyDescent="0.35">
      <c r="F527" s="2"/>
      <c r="G527" s="3"/>
    </row>
    <row r="528" spans="6:7" ht="14.25" customHeight="1" x14ac:dyDescent="0.35">
      <c r="F528" s="2"/>
      <c r="G528" s="3"/>
    </row>
    <row r="529" spans="6:7" ht="14.25" customHeight="1" x14ac:dyDescent="0.35">
      <c r="F529" s="2"/>
      <c r="G529" s="3"/>
    </row>
    <row r="530" spans="6:7" ht="14.25" customHeight="1" x14ac:dyDescent="0.35">
      <c r="F530" s="2"/>
      <c r="G530" s="3"/>
    </row>
    <row r="531" spans="6:7" ht="14.25" customHeight="1" x14ac:dyDescent="0.35">
      <c r="F531" s="2"/>
      <c r="G531" s="3"/>
    </row>
    <row r="532" spans="6:7" ht="14.25" customHeight="1" x14ac:dyDescent="0.35">
      <c r="F532" s="2"/>
      <c r="G532" s="3"/>
    </row>
    <row r="533" spans="6:7" ht="14.25" customHeight="1" x14ac:dyDescent="0.35">
      <c r="F533" s="2"/>
      <c r="G533" s="3"/>
    </row>
    <row r="534" spans="6:7" ht="14.25" customHeight="1" x14ac:dyDescent="0.35">
      <c r="F534" s="2"/>
      <c r="G534" s="3"/>
    </row>
    <row r="535" spans="6:7" ht="14.25" customHeight="1" x14ac:dyDescent="0.35">
      <c r="F535" s="2"/>
      <c r="G535" s="3"/>
    </row>
    <row r="536" spans="6:7" ht="14.25" customHeight="1" x14ac:dyDescent="0.35">
      <c r="F536" s="2"/>
      <c r="G536" s="3"/>
    </row>
    <row r="537" spans="6:7" ht="14.25" customHeight="1" x14ac:dyDescent="0.35">
      <c r="F537" s="2"/>
      <c r="G537" s="3"/>
    </row>
    <row r="538" spans="6:7" ht="14.25" customHeight="1" x14ac:dyDescent="0.35">
      <c r="F538" s="2"/>
      <c r="G538" s="3"/>
    </row>
    <row r="539" spans="6:7" ht="14.25" customHeight="1" x14ac:dyDescent="0.35">
      <c r="F539" s="2"/>
      <c r="G539" s="3"/>
    </row>
    <row r="540" spans="6:7" ht="14.25" customHeight="1" x14ac:dyDescent="0.35">
      <c r="F540" s="2"/>
      <c r="G540" s="3"/>
    </row>
    <row r="541" spans="6:7" ht="14.25" customHeight="1" x14ac:dyDescent="0.35">
      <c r="F541" s="2"/>
      <c r="G541" s="3"/>
    </row>
    <row r="542" spans="6:7" ht="14.25" customHeight="1" x14ac:dyDescent="0.35">
      <c r="F542" s="2"/>
      <c r="G542" s="3"/>
    </row>
    <row r="543" spans="6:7" ht="14.25" customHeight="1" x14ac:dyDescent="0.35">
      <c r="F543" s="2"/>
      <c r="G543" s="3"/>
    </row>
    <row r="544" spans="6:7" ht="14.25" customHeight="1" x14ac:dyDescent="0.35">
      <c r="F544" s="2"/>
      <c r="G544" s="3"/>
    </row>
    <row r="545" spans="6:7" ht="14.25" customHeight="1" x14ac:dyDescent="0.35">
      <c r="F545" s="2"/>
      <c r="G545" s="3"/>
    </row>
    <row r="546" spans="6:7" ht="14.25" customHeight="1" x14ac:dyDescent="0.35">
      <c r="F546" s="2"/>
      <c r="G546" s="3"/>
    </row>
    <row r="547" spans="6:7" ht="14.25" customHeight="1" x14ac:dyDescent="0.35">
      <c r="F547" s="2"/>
      <c r="G547" s="3"/>
    </row>
    <row r="548" spans="6:7" ht="14.25" customHeight="1" x14ac:dyDescent="0.35">
      <c r="F548" s="2"/>
      <c r="G548" s="3"/>
    </row>
    <row r="549" spans="6:7" ht="14.25" customHeight="1" x14ac:dyDescent="0.35">
      <c r="F549" s="2"/>
      <c r="G549" s="3"/>
    </row>
    <row r="550" spans="6:7" ht="14.25" customHeight="1" x14ac:dyDescent="0.35">
      <c r="F550" s="2"/>
      <c r="G550" s="3"/>
    </row>
    <row r="551" spans="6:7" ht="14.25" customHeight="1" x14ac:dyDescent="0.35">
      <c r="F551" s="2"/>
      <c r="G551" s="3"/>
    </row>
    <row r="552" spans="6:7" ht="14.25" customHeight="1" x14ac:dyDescent="0.35">
      <c r="F552" s="2"/>
      <c r="G552" s="3"/>
    </row>
    <row r="553" spans="6:7" ht="14.25" customHeight="1" x14ac:dyDescent="0.35">
      <c r="F553" s="2"/>
      <c r="G553" s="3"/>
    </row>
    <row r="554" spans="6:7" ht="14.25" customHeight="1" x14ac:dyDescent="0.35">
      <c r="F554" s="2"/>
      <c r="G554" s="3"/>
    </row>
    <row r="555" spans="6:7" ht="14.25" customHeight="1" x14ac:dyDescent="0.35">
      <c r="F555" s="2"/>
      <c r="G555" s="3"/>
    </row>
    <row r="556" spans="6:7" ht="14.25" customHeight="1" x14ac:dyDescent="0.35">
      <c r="F556" s="2"/>
      <c r="G556" s="3"/>
    </row>
    <row r="557" spans="6:7" ht="14.25" customHeight="1" x14ac:dyDescent="0.35">
      <c r="F557" s="2"/>
      <c r="G557" s="3"/>
    </row>
    <row r="558" spans="6:7" ht="14.25" customHeight="1" x14ac:dyDescent="0.35">
      <c r="F558" s="2"/>
      <c r="G558" s="3"/>
    </row>
    <row r="559" spans="6:7" ht="14.25" customHeight="1" x14ac:dyDescent="0.35">
      <c r="F559" s="2"/>
      <c r="G559" s="3"/>
    </row>
    <row r="560" spans="6:7" ht="14.25" customHeight="1" x14ac:dyDescent="0.35">
      <c r="F560" s="2"/>
      <c r="G560" s="3"/>
    </row>
    <row r="561" spans="6:7" ht="14.25" customHeight="1" x14ac:dyDescent="0.35">
      <c r="F561" s="2"/>
      <c r="G561" s="3"/>
    </row>
    <row r="562" spans="6:7" ht="14.25" customHeight="1" x14ac:dyDescent="0.35">
      <c r="F562" s="2"/>
      <c r="G562" s="3"/>
    </row>
    <row r="563" spans="6:7" ht="14.25" customHeight="1" x14ac:dyDescent="0.35">
      <c r="F563" s="2"/>
      <c r="G563" s="3"/>
    </row>
    <row r="564" spans="6:7" ht="14.25" customHeight="1" x14ac:dyDescent="0.35">
      <c r="F564" s="2"/>
      <c r="G564" s="3"/>
    </row>
    <row r="565" spans="6:7" ht="14.25" customHeight="1" x14ac:dyDescent="0.35">
      <c r="F565" s="2"/>
      <c r="G565" s="3"/>
    </row>
    <row r="566" spans="6:7" ht="14.25" customHeight="1" x14ac:dyDescent="0.35">
      <c r="F566" s="2"/>
      <c r="G566" s="3"/>
    </row>
    <row r="567" spans="6:7" ht="14.25" customHeight="1" x14ac:dyDescent="0.35">
      <c r="F567" s="2"/>
      <c r="G567" s="3"/>
    </row>
    <row r="568" spans="6:7" ht="14.25" customHeight="1" x14ac:dyDescent="0.35">
      <c r="F568" s="2"/>
      <c r="G568" s="3"/>
    </row>
    <row r="569" spans="6:7" ht="14.25" customHeight="1" x14ac:dyDescent="0.35">
      <c r="F569" s="2"/>
      <c r="G569" s="3"/>
    </row>
    <row r="570" spans="6:7" ht="14.25" customHeight="1" x14ac:dyDescent="0.35">
      <c r="F570" s="2"/>
      <c r="G570" s="3"/>
    </row>
    <row r="571" spans="6:7" ht="14.25" customHeight="1" x14ac:dyDescent="0.35">
      <c r="F571" s="2"/>
      <c r="G571" s="3"/>
    </row>
    <row r="572" spans="6:7" ht="14.25" customHeight="1" x14ac:dyDescent="0.35">
      <c r="F572" s="2"/>
      <c r="G572" s="3"/>
    </row>
    <row r="573" spans="6:7" ht="14.25" customHeight="1" x14ac:dyDescent="0.35">
      <c r="F573" s="2"/>
      <c r="G573" s="3"/>
    </row>
    <row r="574" spans="6:7" ht="14.25" customHeight="1" x14ac:dyDescent="0.35">
      <c r="F574" s="2"/>
      <c r="G574" s="3"/>
    </row>
    <row r="575" spans="6:7" ht="14.25" customHeight="1" x14ac:dyDescent="0.35">
      <c r="F575" s="2"/>
      <c r="G575" s="3"/>
    </row>
    <row r="576" spans="6:7" ht="14.25" customHeight="1" x14ac:dyDescent="0.35">
      <c r="F576" s="2"/>
      <c r="G576" s="3"/>
    </row>
    <row r="577" spans="6:7" ht="14.25" customHeight="1" x14ac:dyDescent="0.35">
      <c r="F577" s="2"/>
      <c r="G577" s="3"/>
    </row>
    <row r="578" spans="6:7" ht="14.25" customHeight="1" x14ac:dyDescent="0.35">
      <c r="F578" s="2"/>
      <c r="G578" s="3"/>
    </row>
    <row r="579" spans="6:7" ht="14.25" customHeight="1" x14ac:dyDescent="0.35">
      <c r="F579" s="2"/>
      <c r="G579" s="3"/>
    </row>
    <row r="580" spans="6:7" ht="14.25" customHeight="1" x14ac:dyDescent="0.35">
      <c r="F580" s="2"/>
      <c r="G580" s="3"/>
    </row>
    <row r="581" spans="6:7" ht="14.25" customHeight="1" x14ac:dyDescent="0.35">
      <c r="F581" s="2"/>
      <c r="G581" s="3"/>
    </row>
    <row r="582" spans="6:7" ht="14.25" customHeight="1" x14ac:dyDescent="0.35">
      <c r="F582" s="2"/>
      <c r="G582" s="3"/>
    </row>
    <row r="583" spans="6:7" ht="14.25" customHeight="1" x14ac:dyDescent="0.35">
      <c r="F583" s="2"/>
      <c r="G583" s="3"/>
    </row>
    <row r="584" spans="6:7" ht="14.25" customHeight="1" x14ac:dyDescent="0.35">
      <c r="F584" s="2"/>
      <c r="G584" s="3"/>
    </row>
    <row r="585" spans="6:7" ht="14.25" customHeight="1" x14ac:dyDescent="0.35">
      <c r="F585" s="2"/>
      <c r="G585" s="3"/>
    </row>
    <row r="586" spans="6:7" ht="14.25" customHeight="1" x14ac:dyDescent="0.35">
      <c r="F586" s="2"/>
      <c r="G586" s="3"/>
    </row>
    <row r="587" spans="6:7" ht="14.25" customHeight="1" x14ac:dyDescent="0.35">
      <c r="F587" s="2"/>
      <c r="G587" s="3"/>
    </row>
    <row r="588" spans="6:7" ht="14.25" customHeight="1" x14ac:dyDescent="0.35">
      <c r="F588" s="2"/>
      <c r="G588" s="3"/>
    </row>
    <row r="589" spans="6:7" ht="14.25" customHeight="1" x14ac:dyDescent="0.35">
      <c r="F589" s="2"/>
      <c r="G589" s="3"/>
    </row>
    <row r="590" spans="6:7" ht="14.25" customHeight="1" x14ac:dyDescent="0.35">
      <c r="F590" s="2"/>
      <c r="G590" s="3"/>
    </row>
    <row r="591" spans="6:7" ht="14.25" customHeight="1" x14ac:dyDescent="0.35">
      <c r="F591" s="2"/>
      <c r="G591" s="3"/>
    </row>
    <row r="592" spans="6:7" ht="14.25" customHeight="1" x14ac:dyDescent="0.35">
      <c r="F592" s="2"/>
      <c r="G592" s="3"/>
    </row>
    <row r="593" spans="6:7" ht="14.25" customHeight="1" x14ac:dyDescent="0.35">
      <c r="F593" s="2"/>
      <c r="G593" s="3"/>
    </row>
    <row r="594" spans="6:7" ht="14.25" customHeight="1" x14ac:dyDescent="0.35">
      <c r="F594" s="2"/>
      <c r="G594" s="3"/>
    </row>
    <row r="595" spans="6:7" ht="14.25" customHeight="1" x14ac:dyDescent="0.35">
      <c r="F595" s="2"/>
      <c r="G595" s="3"/>
    </row>
    <row r="596" spans="6:7" ht="14.25" customHeight="1" x14ac:dyDescent="0.35">
      <c r="F596" s="2"/>
      <c r="G596" s="3"/>
    </row>
    <row r="597" spans="6:7" ht="14.25" customHeight="1" x14ac:dyDescent="0.35">
      <c r="F597" s="2"/>
      <c r="G597" s="3"/>
    </row>
    <row r="598" spans="6:7" ht="14.25" customHeight="1" x14ac:dyDescent="0.35">
      <c r="F598" s="2"/>
      <c r="G598" s="3"/>
    </row>
    <row r="599" spans="6:7" ht="14.25" customHeight="1" x14ac:dyDescent="0.35">
      <c r="F599" s="2"/>
      <c r="G599" s="3"/>
    </row>
    <row r="600" spans="6:7" ht="14.25" customHeight="1" x14ac:dyDescent="0.35">
      <c r="F600" s="2"/>
      <c r="G600" s="3"/>
    </row>
    <row r="601" spans="6:7" ht="14.25" customHeight="1" x14ac:dyDescent="0.35">
      <c r="F601" s="2"/>
      <c r="G601" s="3"/>
    </row>
    <row r="602" spans="6:7" ht="14.25" customHeight="1" x14ac:dyDescent="0.35">
      <c r="F602" s="2"/>
      <c r="G602" s="3"/>
    </row>
    <row r="603" spans="6:7" ht="14.25" customHeight="1" x14ac:dyDescent="0.35">
      <c r="F603" s="2"/>
      <c r="G603" s="3"/>
    </row>
    <row r="604" spans="6:7" ht="14.25" customHeight="1" x14ac:dyDescent="0.35">
      <c r="F604" s="2"/>
      <c r="G604" s="3"/>
    </row>
    <row r="605" spans="6:7" ht="14.25" customHeight="1" x14ac:dyDescent="0.35">
      <c r="F605" s="2"/>
      <c r="G605" s="3"/>
    </row>
    <row r="606" spans="6:7" ht="14.25" customHeight="1" x14ac:dyDescent="0.35">
      <c r="F606" s="2"/>
      <c r="G606" s="3"/>
    </row>
    <row r="607" spans="6:7" ht="14.25" customHeight="1" x14ac:dyDescent="0.35">
      <c r="F607" s="2"/>
      <c r="G607" s="3"/>
    </row>
    <row r="608" spans="6:7" ht="14.25" customHeight="1" x14ac:dyDescent="0.35">
      <c r="F608" s="2"/>
      <c r="G608" s="3"/>
    </row>
    <row r="609" spans="6:7" ht="14.25" customHeight="1" x14ac:dyDescent="0.35">
      <c r="F609" s="2"/>
      <c r="G609" s="3"/>
    </row>
    <row r="610" spans="6:7" ht="14.25" customHeight="1" x14ac:dyDescent="0.35">
      <c r="F610" s="2"/>
      <c r="G610" s="3"/>
    </row>
    <row r="611" spans="6:7" ht="14.25" customHeight="1" x14ac:dyDescent="0.35">
      <c r="F611" s="2"/>
      <c r="G611" s="3"/>
    </row>
    <row r="612" spans="6:7" ht="14.25" customHeight="1" x14ac:dyDescent="0.35">
      <c r="F612" s="2"/>
      <c r="G612" s="3"/>
    </row>
    <row r="613" spans="6:7" ht="14.25" customHeight="1" x14ac:dyDescent="0.35">
      <c r="F613" s="2"/>
      <c r="G613" s="3"/>
    </row>
    <row r="614" spans="6:7" ht="14.25" customHeight="1" x14ac:dyDescent="0.35">
      <c r="F614" s="2"/>
      <c r="G614" s="3"/>
    </row>
    <row r="615" spans="6:7" ht="14.25" customHeight="1" x14ac:dyDescent="0.35">
      <c r="F615" s="2"/>
      <c r="G615" s="3"/>
    </row>
    <row r="616" spans="6:7" ht="14.25" customHeight="1" x14ac:dyDescent="0.35">
      <c r="F616" s="2"/>
      <c r="G616" s="3"/>
    </row>
    <row r="617" spans="6:7" ht="14.25" customHeight="1" x14ac:dyDescent="0.35">
      <c r="F617" s="2"/>
      <c r="G617" s="3"/>
    </row>
    <row r="618" spans="6:7" ht="14.25" customHeight="1" x14ac:dyDescent="0.35">
      <c r="F618" s="2"/>
      <c r="G618" s="3"/>
    </row>
    <row r="619" spans="6:7" ht="14.25" customHeight="1" x14ac:dyDescent="0.35">
      <c r="F619" s="2"/>
      <c r="G619" s="3"/>
    </row>
    <row r="620" spans="6:7" ht="14.25" customHeight="1" x14ac:dyDescent="0.35">
      <c r="F620" s="2"/>
      <c r="G620" s="3"/>
    </row>
    <row r="621" spans="6:7" ht="14.25" customHeight="1" x14ac:dyDescent="0.35">
      <c r="F621" s="2"/>
      <c r="G621" s="3"/>
    </row>
    <row r="622" spans="6:7" ht="14.25" customHeight="1" x14ac:dyDescent="0.35">
      <c r="F622" s="2"/>
      <c r="G622" s="3"/>
    </row>
    <row r="623" spans="6:7" ht="14.25" customHeight="1" x14ac:dyDescent="0.35">
      <c r="F623" s="2"/>
      <c r="G623" s="3"/>
    </row>
    <row r="624" spans="6:7" ht="14.25" customHeight="1" x14ac:dyDescent="0.35">
      <c r="F624" s="2"/>
      <c r="G624" s="3"/>
    </row>
    <row r="625" spans="6:7" ht="14.25" customHeight="1" x14ac:dyDescent="0.35">
      <c r="F625" s="2"/>
      <c r="G625" s="3"/>
    </row>
    <row r="626" spans="6:7" ht="14.25" customHeight="1" x14ac:dyDescent="0.35">
      <c r="F626" s="2"/>
      <c r="G626" s="3"/>
    </row>
    <row r="627" spans="6:7" ht="14.25" customHeight="1" x14ac:dyDescent="0.35">
      <c r="F627" s="2"/>
      <c r="G627" s="3"/>
    </row>
    <row r="628" spans="6:7" ht="14.25" customHeight="1" x14ac:dyDescent="0.35">
      <c r="F628" s="2"/>
      <c r="G628" s="3"/>
    </row>
    <row r="629" spans="6:7" ht="14.25" customHeight="1" x14ac:dyDescent="0.35">
      <c r="F629" s="2"/>
      <c r="G629" s="3"/>
    </row>
    <row r="630" spans="6:7" ht="14.25" customHeight="1" x14ac:dyDescent="0.35">
      <c r="F630" s="2"/>
      <c r="G630" s="3"/>
    </row>
    <row r="631" spans="6:7" ht="14.25" customHeight="1" x14ac:dyDescent="0.35">
      <c r="F631" s="2"/>
      <c r="G631" s="3"/>
    </row>
    <row r="632" spans="6:7" ht="14.25" customHeight="1" x14ac:dyDescent="0.35">
      <c r="F632" s="2"/>
      <c r="G632" s="3"/>
    </row>
    <row r="633" spans="6:7" ht="14.25" customHeight="1" x14ac:dyDescent="0.35">
      <c r="F633" s="2"/>
      <c r="G633" s="3"/>
    </row>
    <row r="634" spans="6:7" ht="14.25" customHeight="1" x14ac:dyDescent="0.35">
      <c r="F634" s="2"/>
      <c r="G634" s="3"/>
    </row>
    <row r="635" spans="6:7" ht="14.25" customHeight="1" x14ac:dyDescent="0.35">
      <c r="F635" s="2"/>
      <c r="G635" s="3"/>
    </row>
    <row r="636" spans="6:7" ht="14.25" customHeight="1" x14ac:dyDescent="0.35">
      <c r="F636" s="2"/>
      <c r="G636" s="3"/>
    </row>
    <row r="637" spans="6:7" ht="14.25" customHeight="1" x14ac:dyDescent="0.35">
      <c r="F637" s="2"/>
      <c r="G637" s="3"/>
    </row>
    <row r="638" spans="6:7" ht="14.25" customHeight="1" x14ac:dyDescent="0.35">
      <c r="F638" s="2"/>
      <c r="G638" s="3"/>
    </row>
    <row r="639" spans="6:7" ht="14.25" customHeight="1" x14ac:dyDescent="0.35">
      <c r="F639" s="2"/>
      <c r="G639" s="3"/>
    </row>
    <row r="640" spans="6:7" ht="14.25" customHeight="1" x14ac:dyDescent="0.35">
      <c r="F640" s="2"/>
      <c r="G640" s="3"/>
    </row>
    <row r="641" spans="6:7" ht="14.25" customHeight="1" x14ac:dyDescent="0.35">
      <c r="F641" s="2"/>
      <c r="G641" s="3"/>
    </row>
    <row r="642" spans="6:7" ht="14.25" customHeight="1" x14ac:dyDescent="0.35">
      <c r="F642" s="2"/>
      <c r="G642" s="3"/>
    </row>
    <row r="643" spans="6:7" ht="14.25" customHeight="1" x14ac:dyDescent="0.35">
      <c r="F643" s="2"/>
      <c r="G643" s="3"/>
    </row>
    <row r="644" spans="6:7" ht="14.25" customHeight="1" x14ac:dyDescent="0.35">
      <c r="F644" s="2"/>
      <c r="G644" s="3"/>
    </row>
    <row r="645" spans="6:7" ht="14.25" customHeight="1" x14ac:dyDescent="0.35">
      <c r="F645" s="2"/>
      <c r="G645" s="3"/>
    </row>
    <row r="646" spans="6:7" ht="14.25" customHeight="1" x14ac:dyDescent="0.35">
      <c r="F646" s="2"/>
      <c r="G646" s="3"/>
    </row>
    <row r="647" spans="6:7" ht="14.25" customHeight="1" x14ac:dyDescent="0.35">
      <c r="F647" s="2"/>
      <c r="G647" s="3"/>
    </row>
    <row r="648" spans="6:7" ht="14.25" customHeight="1" x14ac:dyDescent="0.35">
      <c r="F648" s="2"/>
      <c r="G648" s="3"/>
    </row>
    <row r="649" spans="6:7" ht="14.25" customHeight="1" x14ac:dyDescent="0.35">
      <c r="F649" s="2"/>
      <c r="G649" s="3"/>
    </row>
    <row r="650" spans="6:7" ht="14.25" customHeight="1" x14ac:dyDescent="0.35">
      <c r="F650" s="2"/>
      <c r="G650" s="3"/>
    </row>
    <row r="651" spans="6:7" ht="14.25" customHeight="1" x14ac:dyDescent="0.35">
      <c r="F651" s="2"/>
      <c r="G651" s="3"/>
    </row>
    <row r="652" spans="6:7" ht="14.25" customHeight="1" x14ac:dyDescent="0.35">
      <c r="F652" s="2"/>
      <c r="G652" s="3"/>
    </row>
    <row r="653" spans="6:7" ht="14.25" customHeight="1" x14ac:dyDescent="0.35">
      <c r="F653" s="2"/>
      <c r="G653" s="3"/>
    </row>
    <row r="654" spans="6:7" ht="14.25" customHeight="1" x14ac:dyDescent="0.35">
      <c r="F654" s="2"/>
      <c r="G654" s="3"/>
    </row>
    <row r="655" spans="6:7" ht="14.25" customHeight="1" x14ac:dyDescent="0.35">
      <c r="F655" s="2"/>
      <c r="G655" s="3"/>
    </row>
    <row r="656" spans="6:7" ht="14.25" customHeight="1" x14ac:dyDescent="0.35">
      <c r="F656" s="2"/>
      <c r="G656" s="3"/>
    </row>
    <row r="657" spans="6:7" ht="14.25" customHeight="1" x14ac:dyDescent="0.35">
      <c r="F657" s="2"/>
      <c r="G657" s="3"/>
    </row>
    <row r="658" spans="6:7" ht="14.25" customHeight="1" x14ac:dyDescent="0.35">
      <c r="F658" s="2"/>
      <c r="G658" s="3"/>
    </row>
    <row r="659" spans="6:7" ht="14.25" customHeight="1" x14ac:dyDescent="0.35">
      <c r="F659" s="2"/>
      <c r="G659" s="3"/>
    </row>
    <row r="660" spans="6:7" ht="14.25" customHeight="1" x14ac:dyDescent="0.35">
      <c r="F660" s="2"/>
      <c r="G660" s="3"/>
    </row>
    <row r="661" spans="6:7" ht="14.25" customHeight="1" x14ac:dyDescent="0.35">
      <c r="F661" s="2"/>
      <c r="G661" s="3"/>
    </row>
    <row r="662" spans="6:7" ht="14.25" customHeight="1" x14ac:dyDescent="0.35">
      <c r="F662" s="2"/>
      <c r="G662" s="3"/>
    </row>
    <row r="663" spans="6:7" ht="14.25" customHeight="1" x14ac:dyDescent="0.35">
      <c r="F663" s="2"/>
      <c r="G663" s="3"/>
    </row>
    <row r="664" spans="6:7" ht="14.25" customHeight="1" x14ac:dyDescent="0.35">
      <c r="F664" s="2"/>
      <c r="G664" s="3"/>
    </row>
    <row r="665" spans="6:7" ht="14.25" customHeight="1" x14ac:dyDescent="0.35">
      <c r="F665" s="2"/>
      <c r="G665" s="3"/>
    </row>
    <row r="666" spans="6:7" ht="14.25" customHeight="1" x14ac:dyDescent="0.35">
      <c r="F666" s="2"/>
      <c r="G666" s="3"/>
    </row>
    <row r="667" spans="6:7" ht="14.25" customHeight="1" x14ac:dyDescent="0.35">
      <c r="F667" s="2"/>
      <c r="G667" s="3"/>
    </row>
    <row r="668" spans="6:7" ht="14.25" customHeight="1" x14ac:dyDescent="0.35">
      <c r="F668" s="2"/>
      <c r="G668" s="3"/>
    </row>
    <row r="669" spans="6:7" ht="14.25" customHeight="1" x14ac:dyDescent="0.35">
      <c r="F669" s="2"/>
      <c r="G669" s="3"/>
    </row>
    <row r="670" spans="6:7" ht="14.25" customHeight="1" x14ac:dyDescent="0.35">
      <c r="F670" s="2"/>
      <c r="G670" s="3"/>
    </row>
    <row r="671" spans="6:7" ht="14.25" customHeight="1" x14ac:dyDescent="0.35">
      <c r="F671" s="2"/>
      <c r="G671" s="3"/>
    </row>
    <row r="672" spans="6:7" ht="14.25" customHeight="1" x14ac:dyDescent="0.35">
      <c r="F672" s="2"/>
      <c r="G672" s="3"/>
    </row>
    <row r="673" spans="6:7" ht="14.25" customHeight="1" x14ac:dyDescent="0.35">
      <c r="F673" s="2"/>
      <c r="G673" s="3"/>
    </row>
    <row r="674" spans="6:7" ht="14.25" customHeight="1" x14ac:dyDescent="0.35">
      <c r="F674" s="2"/>
      <c r="G674" s="3"/>
    </row>
    <row r="675" spans="6:7" ht="14.25" customHeight="1" x14ac:dyDescent="0.35">
      <c r="F675" s="2"/>
      <c r="G675" s="3"/>
    </row>
    <row r="676" spans="6:7" ht="14.25" customHeight="1" x14ac:dyDescent="0.35">
      <c r="F676" s="2"/>
      <c r="G676" s="3"/>
    </row>
    <row r="677" spans="6:7" ht="14.25" customHeight="1" x14ac:dyDescent="0.35">
      <c r="F677" s="2"/>
      <c r="G677" s="3"/>
    </row>
    <row r="678" spans="6:7" ht="14.25" customHeight="1" x14ac:dyDescent="0.35">
      <c r="F678" s="2"/>
      <c r="G678" s="3"/>
    </row>
    <row r="679" spans="6:7" ht="14.25" customHeight="1" x14ac:dyDescent="0.35">
      <c r="F679" s="2"/>
      <c r="G679" s="3"/>
    </row>
    <row r="680" spans="6:7" ht="14.25" customHeight="1" x14ac:dyDescent="0.35">
      <c r="F680" s="2"/>
      <c r="G680" s="3"/>
    </row>
    <row r="681" spans="6:7" ht="14.25" customHeight="1" x14ac:dyDescent="0.35">
      <c r="F681" s="2"/>
      <c r="G681" s="3"/>
    </row>
    <row r="682" spans="6:7" ht="14.25" customHeight="1" x14ac:dyDescent="0.35">
      <c r="F682" s="2"/>
      <c r="G682" s="3"/>
    </row>
    <row r="683" spans="6:7" ht="14.25" customHeight="1" x14ac:dyDescent="0.35">
      <c r="F683" s="2"/>
      <c r="G683" s="3"/>
    </row>
    <row r="684" spans="6:7" ht="14.25" customHeight="1" x14ac:dyDescent="0.35">
      <c r="F684" s="2"/>
      <c r="G684" s="3"/>
    </row>
    <row r="685" spans="6:7" ht="14.25" customHeight="1" x14ac:dyDescent="0.35">
      <c r="F685" s="2"/>
      <c r="G685" s="3"/>
    </row>
    <row r="686" spans="6:7" ht="14.25" customHeight="1" x14ac:dyDescent="0.35">
      <c r="F686" s="2"/>
      <c r="G686" s="3"/>
    </row>
    <row r="687" spans="6:7" ht="14.25" customHeight="1" x14ac:dyDescent="0.35">
      <c r="F687" s="2"/>
      <c r="G687" s="3"/>
    </row>
    <row r="688" spans="6:7" ht="14.25" customHeight="1" x14ac:dyDescent="0.35">
      <c r="F688" s="2"/>
      <c r="G688" s="3"/>
    </row>
    <row r="689" spans="6:7" ht="14.25" customHeight="1" x14ac:dyDescent="0.35">
      <c r="F689" s="2"/>
      <c r="G689" s="3"/>
    </row>
    <row r="690" spans="6:7" ht="14.25" customHeight="1" x14ac:dyDescent="0.35">
      <c r="F690" s="2"/>
      <c r="G690" s="3"/>
    </row>
    <row r="691" spans="6:7" ht="14.25" customHeight="1" x14ac:dyDescent="0.35">
      <c r="F691" s="2"/>
      <c r="G691" s="3"/>
    </row>
    <row r="692" spans="6:7" ht="14.25" customHeight="1" x14ac:dyDescent="0.35">
      <c r="F692" s="2"/>
      <c r="G692" s="3"/>
    </row>
    <row r="693" spans="6:7" ht="14.25" customHeight="1" x14ac:dyDescent="0.35">
      <c r="F693" s="2"/>
      <c r="G693" s="3"/>
    </row>
    <row r="694" spans="6:7" ht="14.25" customHeight="1" x14ac:dyDescent="0.35">
      <c r="F694" s="2"/>
      <c r="G694" s="3"/>
    </row>
    <row r="695" spans="6:7" ht="14.25" customHeight="1" x14ac:dyDescent="0.35">
      <c r="F695" s="2"/>
      <c r="G695" s="3"/>
    </row>
    <row r="696" spans="6:7" ht="14.25" customHeight="1" x14ac:dyDescent="0.35">
      <c r="F696" s="2"/>
      <c r="G696" s="3"/>
    </row>
    <row r="697" spans="6:7" ht="14.25" customHeight="1" x14ac:dyDescent="0.35">
      <c r="F697" s="2"/>
      <c r="G697" s="3"/>
    </row>
    <row r="698" spans="6:7" ht="14.25" customHeight="1" x14ac:dyDescent="0.35">
      <c r="F698" s="2"/>
      <c r="G698" s="3"/>
    </row>
    <row r="699" spans="6:7" ht="14.25" customHeight="1" x14ac:dyDescent="0.35">
      <c r="F699" s="2"/>
      <c r="G699" s="3"/>
    </row>
    <row r="700" spans="6:7" ht="14.25" customHeight="1" x14ac:dyDescent="0.35">
      <c r="F700" s="2"/>
      <c r="G700" s="3"/>
    </row>
    <row r="701" spans="6:7" ht="14.25" customHeight="1" x14ac:dyDescent="0.35">
      <c r="F701" s="2"/>
      <c r="G701" s="3"/>
    </row>
    <row r="702" spans="6:7" ht="14.25" customHeight="1" x14ac:dyDescent="0.35">
      <c r="F702" s="2"/>
      <c r="G702" s="3"/>
    </row>
    <row r="703" spans="6:7" ht="14.25" customHeight="1" x14ac:dyDescent="0.35">
      <c r="F703" s="2"/>
      <c r="G703" s="3"/>
    </row>
    <row r="704" spans="6:7" ht="14.25" customHeight="1" x14ac:dyDescent="0.35">
      <c r="F704" s="2"/>
      <c r="G704" s="3"/>
    </row>
    <row r="705" spans="6:7" ht="14.25" customHeight="1" x14ac:dyDescent="0.35">
      <c r="F705" s="2"/>
      <c r="G705" s="3"/>
    </row>
    <row r="706" spans="6:7" ht="14.25" customHeight="1" x14ac:dyDescent="0.35">
      <c r="F706" s="2"/>
      <c r="G706" s="3"/>
    </row>
    <row r="707" spans="6:7" ht="14.25" customHeight="1" x14ac:dyDescent="0.35">
      <c r="F707" s="2"/>
      <c r="G707" s="3"/>
    </row>
    <row r="708" spans="6:7" ht="14.25" customHeight="1" x14ac:dyDescent="0.35">
      <c r="F708" s="2"/>
      <c r="G708" s="3"/>
    </row>
    <row r="709" spans="6:7" ht="14.25" customHeight="1" x14ac:dyDescent="0.35">
      <c r="F709" s="2"/>
      <c r="G709" s="3"/>
    </row>
    <row r="710" spans="6:7" ht="14.25" customHeight="1" x14ac:dyDescent="0.35">
      <c r="F710" s="2"/>
      <c r="G710" s="3"/>
    </row>
    <row r="711" spans="6:7" ht="14.25" customHeight="1" x14ac:dyDescent="0.35">
      <c r="F711" s="2"/>
      <c r="G711" s="3"/>
    </row>
    <row r="712" spans="6:7" ht="14.25" customHeight="1" x14ac:dyDescent="0.35">
      <c r="F712" s="2"/>
      <c r="G712" s="3"/>
    </row>
    <row r="713" spans="6:7" ht="14.25" customHeight="1" x14ac:dyDescent="0.35">
      <c r="F713" s="2"/>
      <c r="G713" s="3"/>
    </row>
    <row r="714" spans="6:7" ht="14.25" customHeight="1" x14ac:dyDescent="0.35">
      <c r="F714" s="2"/>
      <c r="G714" s="3"/>
    </row>
    <row r="715" spans="6:7" ht="14.25" customHeight="1" x14ac:dyDescent="0.35">
      <c r="F715" s="2"/>
      <c r="G715" s="3"/>
    </row>
    <row r="716" spans="6:7" ht="14.25" customHeight="1" x14ac:dyDescent="0.35">
      <c r="F716" s="2"/>
      <c r="G716" s="3"/>
    </row>
    <row r="717" spans="6:7" ht="14.25" customHeight="1" x14ac:dyDescent="0.35">
      <c r="F717" s="2"/>
      <c r="G717" s="3"/>
    </row>
    <row r="718" spans="6:7" ht="14.25" customHeight="1" x14ac:dyDescent="0.35">
      <c r="F718" s="2"/>
      <c r="G718" s="3"/>
    </row>
    <row r="719" spans="6:7" ht="14.25" customHeight="1" x14ac:dyDescent="0.35">
      <c r="F719" s="2"/>
      <c r="G719" s="3"/>
    </row>
    <row r="720" spans="6:7" ht="14.25" customHeight="1" x14ac:dyDescent="0.35">
      <c r="F720" s="2"/>
      <c r="G720" s="3"/>
    </row>
    <row r="721" spans="6:7" ht="14.25" customHeight="1" x14ac:dyDescent="0.35">
      <c r="F721" s="2"/>
      <c r="G721" s="3"/>
    </row>
    <row r="722" spans="6:7" ht="14.25" customHeight="1" x14ac:dyDescent="0.35">
      <c r="F722" s="2"/>
      <c r="G722" s="3"/>
    </row>
    <row r="723" spans="6:7" ht="14.25" customHeight="1" x14ac:dyDescent="0.35">
      <c r="F723" s="2"/>
      <c r="G723" s="3"/>
    </row>
    <row r="724" spans="6:7" ht="14.25" customHeight="1" x14ac:dyDescent="0.35">
      <c r="F724" s="2"/>
      <c r="G724" s="3"/>
    </row>
    <row r="725" spans="6:7" ht="14.25" customHeight="1" x14ac:dyDescent="0.35">
      <c r="F725" s="2"/>
      <c r="G725" s="3"/>
    </row>
    <row r="726" spans="6:7" ht="14.25" customHeight="1" x14ac:dyDescent="0.35">
      <c r="F726" s="2"/>
      <c r="G726" s="3"/>
    </row>
    <row r="727" spans="6:7" ht="14.25" customHeight="1" x14ac:dyDescent="0.35">
      <c r="F727" s="2"/>
      <c r="G727" s="3"/>
    </row>
    <row r="728" spans="6:7" ht="14.25" customHeight="1" x14ac:dyDescent="0.35">
      <c r="F728" s="2"/>
      <c r="G728" s="3"/>
    </row>
    <row r="729" spans="6:7" ht="14.25" customHeight="1" x14ac:dyDescent="0.35">
      <c r="F729" s="2"/>
      <c r="G729" s="3"/>
    </row>
    <row r="730" spans="6:7" ht="14.25" customHeight="1" x14ac:dyDescent="0.35">
      <c r="F730" s="2"/>
      <c r="G730" s="3"/>
    </row>
    <row r="731" spans="6:7" ht="14.25" customHeight="1" x14ac:dyDescent="0.35">
      <c r="F731" s="2"/>
      <c r="G731" s="3"/>
    </row>
    <row r="732" spans="6:7" ht="14.25" customHeight="1" x14ac:dyDescent="0.35">
      <c r="F732" s="2"/>
      <c r="G732" s="3"/>
    </row>
    <row r="733" spans="6:7" ht="14.25" customHeight="1" x14ac:dyDescent="0.35">
      <c r="F733" s="2"/>
      <c r="G733" s="3"/>
    </row>
    <row r="734" spans="6:7" ht="14.25" customHeight="1" x14ac:dyDescent="0.35">
      <c r="F734" s="2"/>
      <c r="G734" s="3"/>
    </row>
    <row r="735" spans="6:7" ht="14.25" customHeight="1" x14ac:dyDescent="0.35">
      <c r="F735" s="2"/>
      <c r="G735" s="3"/>
    </row>
    <row r="736" spans="6:7" ht="14.25" customHeight="1" x14ac:dyDescent="0.35">
      <c r="F736" s="2"/>
      <c r="G736" s="3"/>
    </row>
    <row r="737" spans="6:7" ht="14.25" customHeight="1" x14ac:dyDescent="0.35">
      <c r="F737" s="2"/>
      <c r="G737" s="3"/>
    </row>
    <row r="738" spans="6:7" ht="14.25" customHeight="1" x14ac:dyDescent="0.35">
      <c r="F738" s="2"/>
      <c r="G738" s="3"/>
    </row>
    <row r="739" spans="6:7" ht="14.25" customHeight="1" x14ac:dyDescent="0.35">
      <c r="F739" s="2"/>
      <c r="G739" s="3"/>
    </row>
    <row r="740" spans="6:7" ht="14.25" customHeight="1" x14ac:dyDescent="0.35">
      <c r="F740" s="2"/>
      <c r="G740" s="3"/>
    </row>
    <row r="741" spans="6:7" ht="14.25" customHeight="1" x14ac:dyDescent="0.35">
      <c r="F741" s="2"/>
      <c r="G741" s="3"/>
    </row>
    <row r="742" spans="6:7" ht="14.25" customHeight="1" x14ac:dyDescent="0.35">
      <c r="F742" s="2"/>
      <c r="G742" s="3"/>
    </row>
    <row r="743" spans="6:7" ht="14.25" customHeight="1" x14ac:dyDescent="0.35">
      <c r="F743" s="2"/>
      <c r="G743" s="3"/>
    </row>
    <row r="744" spans="6:7" ht="14.25" customHeight="1" x14ac:dyDescent="0.35">
      <c r="F744" s="2"/>
      <c r="G744" s="3"/>
    </row>
    <row r="745" spans="6:7" ht="14.25" customHeight="1" x14ac:dyDescent="0.35">
      <c r="F745" s="2"/>
      <c r="G745" s="3"/>
    </row>
    <row r="746" spans="6:7" ht="14.25" customHeight="1" x14ac:dyDescent="0.35">
      <c r="F746" s="2"/>
      <c r="G746" s="3"/>
    </row>
    <row r="747" spans="6:7" ht="14.25" customHeight="1" x14ac:dyDescent="0.35">
      <c r="F747" s="2"/>
      <c r="G747" s="3"/>
    </row>
    <row r="748" spans="6:7" ht="14.25" customHeight="1" x14ac:dyDescent="0.35">
      <c r="F748" s="2"/>
      <c r="G748" s="3"/>
    </row>
    <row r="749" spans="6:7" ht="14.25" customHeight="1" x14ac:dyDescent="0.35">
      <c r="F749" s="2"/>
      <c r="G749" s="3"/>
    </row>
    <row r="750" spans="6:7" ht="14.25" customHeight="1" x14ac:dyDescent="0.35">
      <c r="F750" s="2"/>
      <c r="G750" s="3"/>
    </row>
    <row r="751" spans="6:7" ht="14.25" customHeight="1" x14ac:dyDescent="0.35">
      <c r="F751" s="2"/>
      <c r="G751" s="3"/>
    </row>
    <row r="752" spans="6:7" ht="14.25" customHeight="1" x14ac:dyDescent="0.35">
      <c r="F752" s="2"/>
      <c r="G752" s="3"/>
    </row>
    <row r="753" spans="6:7" ht="14.25" customHeight="1" x14ac:dyDescent="0.35">
      <c r="F753" s="2"/>
      <c r="G753" s="3"/>
    </row>
    <row r="754" spans="6:7" ht="14.25" customHeight="1" x14ac:dyDescent="0.35">
      <c r="F754" s="2"/>
      <c r="G754" s="3"/>
    </row>
    <row r="755" spans="6:7" ht="14.25" customHeight="1" x14ac:dyDescent="0.35">
      <c r="F755" s="2"/>
      <c r="G755" s="3"/>
    </row>
    <row r="756" spans="6:7" ht="14.25" customHeight="1" x14ac:dyDescent="0.35">
      <c r="F756" s="2"/>
      <c r="G756" s="3"/>
    </row>
    <row r="757" spans="6:7" ht="14.25" customHeight="1" x14ac:dyDescent="0.35">
      <c r="F757" s="2"/>
      <c r="G757" s="3"/>
    </row>
    <row r="758" spans="6:7" ht="14.25" customHeight="1" x14ac:dyDescent="0.35">
      <c r="F758" s="2"/>
      <c r="G758" s="3"/>
    </row>
    <row r="759" spans="6:7" ht="14.25" customHeight="1" x14ac:dyDescent="0.35">
      <c r="F759" s="2"/>
      <c r="G759" s="3"/>
    </row>
    <row r="760" spans="6:7" ht="14.25" customHeight="1" x14ac:dyDescent="0.35">
      <c r="F760" s="2"/>
      <c r="G760" s="3"/>
    </row>
    <row r="761" spans="6:7" ht="14.25" customHeight="1" x14ac:dyDescent="0.35">
      <c r="F761" s="2"/>
      <c r="G761" s="3"/>
    </row>
    <row r="762" spans="6:7" ht="14.25" customHeight="1" x14ac:dyDescent="0.35">
      <c r="F762" s="2"/>
      <c r="G762" s="3"/>
    </row>
    <row r="763" spans="6:7" ht="14.25" customHeight="1" x14ac:dyDescent="0.35">
      <c r="F763" s="2"/>
      <c r="G763" s="3"/>
    </row>
    <row r="764" spans="6:7" ht="14.25" customHeight="1" x14ac:dyDescent="0.35">
      <c r="F764" s="2"/>
      <c r="G764" s="3"/>
    </row>
    <row r="765" spans="6:7" ht="14.25" customHeight="1" x14ac:dyDescent="0.35">
      <c r="F765" s="2"/>
      <c r="G765" s="3"/>
    </row>
    <row r="766" spans="6:7" ht="14.25" customHeight="1" x14ac:dyDescent="0.35">
      <c r="F766" s="2"/>
      <c r="G766" s="3"/>
    </row>
    <row r="767" spans="6:7" ht="14.25" customHeight="1" x14ac:dyDescent="0.35">
      <c r="F767" s="2"/>
      <c r="G767" s="3"/>
    </row>
    <row r="768" spans="6:7" ht="14.25" customHeight="1" x14ac:dyDescent="0.35">
      <c r="F768" s="2"/>
      <c r="G768" s="3"/>
    </row>
    <row r="769" spans="6:7" ht="14.25" customHeight="1" x14ac:dyDescent="0.35">
      <c r="F769" s="2"/>
      <c r="G769" s="3"/>
    </row>
    <row r="770" spans="6:7" ht="14.25" customHeight="1" x14ac:dyDescent="0.35">
      <c r="F770" s="2"/>
      <c r="G770" s="3"/>
    </row>
    <row r="771" spans="6:7" ht="14.25" customHeight="1" x14ac:dyDescent="0.35">
      <c r="F771" s="2"/>
      <c r="G771" s="3"/>
    </row>
    <row r="772" spans="6:7" ht="14.25" customHeight="1" x14ac:dyDescent="0.35">
      <c r="F772" s="2"/>
      <c r="G772" s="3"/>
    </row>
    <row r="773" spans="6:7" ht="14.25" customHeight="1" x14ac:dyDescent="0.35">
      <c r="F773" s="2"/>
      <c r="G773" s="3"/>
    </row>
    <row r="774" spans="6:7" ht="14.25" customHeight="1" x14ac:dyDescent="0.35">
      <c r="F774" s="2"/>
      <c r="G774" s="3"/>
    </row>
    <row r="775" spans="6:7" ht="14.25" customHeight="1" x14ac:dyDescent="0.35">
      <c r="F775" s="2"/>
      <c r="G775" s="3"/>
    </row>
    <row r="776" spans="6:7" ht="14.25" customHeight="1" x14ac:dyDescent="0.35">
      <c r="F776" s="2"/>
      <c r="G776" s="3"/>
    </row>
    <row r="777" spans="6:7" ht="14.25" customHeight="1" x14ac:dyDescent="0.35">
      <c r="F777" s="2"/>
      <c r="G777" s="3"/>
    </row>
    <row r="778" spans="6:7" ht="14.25" customHeight="1" x14ac:dyDescent="0.35">
      <c r="F778" s="2"/>
      <c r="G778" s="3"/>
    </row>
    <row r="779" spans="6:7" ht="14.25" customHeight="1" x14ac:dyDescent="0.35">
      <c r="F779" s="2"/>
      <c r="G779" s="3"/>
    </row>
    <row r="780" spans="6:7" ht="14.25" customHeight="1" x14ac:dyDescent="0.35">
      <c r="F780" s="2"/>
      <c r="G780" s="3"/>
    </row>
    <row r="781" spans="6:7" ht="14.25" customHeight="1" x14ac:dyDescent="0.35">
      <c r="F781" s="2"/>
      <c r="G781" s="3"/>
    </row>
    <row r="782" spans="6:7" ht="14.25" customHeight="1" x14ac:dyDescent="0.35">
      <c r="F782" s="2"/>
      <c r="G782" s="3"/>
    </row>
    <row r="783" spans="6:7" ht="14.25" customHeight="1" x14ac:dyDescent="0.35">
      <c r="F783" s="2"/>
      <c r="G783" s="3"/>
    </row>
    <row r="784" spans="6:7" ht="14.25" customHeight="1" x14ac:dyDescent="0.35">
      <c r="F784" s="2"/>
      <c r="G784" s="3"/>
    </row>
    <row r="785" spans="6:7" ht="14.25" customHeight="1" x14ac:dyDescent="0.35">
      <c r="F785" s="2"/>
      <c r="G785" s="3"/>
    </row>
    <row r="786" spans="6:7" ht="14.25" customHeight="1" x14ac:dyDescent="0.35">
      <c r="F786" s="2"/>
      <c r="G786" s="3"/>
    </row>
    <row r="787" spans="6:7" ht="14.25" customHeight="1" x14ac:dyDescent="0.35">
      <c r="F787" s="2"/>
      <c r="G787" s="3"/>
    </row>
    <row r="788" spans="6:7" ht="14.25" customHeight="1" x14ac:dyDescent="0.35">
      <c r="F788" s="2"/>
      <c r="G788" s="3"/>
    </row>
    <row r="789" spans="6:7" ht="14.25" customHeight="1" x14ac:dyDescent="0.35">
      <c r="F789" s="2"/>
      <c r="G789" s="3"/>
    </row>
    <row r="790" spans="6:7" ht="14.25" customHeight="1" x14ac:dyDescent="0.35">
      <c r="F790" s="2"/>
      <c r="G790" s="3"/>
    </row>
    <row r="791" spans="6:7" ht="14.25" customHeight="1" x14ac:dyDescent="0.35">
      <c r="F791" s="2"/>
      <c r="G791" s="3"/>
    </row>
    <row r="792" spans="6:7" ht="14.25" customHeight="1" x14ac:dyDescent="0.35">
      <c r="F792" s="2"/>
      <c r="G792" s="3"/>
    </row>
    <row r="793" spans="6:7" ht="14.25" customHeight="1" x14ac:dyDescent="0.35">
      <c r="F793" s="2"/>
      <c r="G793" s="3"/>
    </row>
    <row r="794" spans="6:7" ht="14.25" customHeight="1" x14ac:dyDescent="0.35">
      <c r="F794" s="2"/>
      <c r="G794" s="3"/>
    </row>
    <row r="795" spans="6:7" ht="14.25" customHeight="1" x14ac:dyDescent="0.35">
      <c r="F795" s="2"/>
      <c r="G795" s="3"/>
    </row>
    <row r="796" spans="6:7" ht="14.25" customHeight="1" x14ac:dyDescent="0.35">
      <c r="F796" s="2"/>
      <c r="G796" s="3"/>
    </row>
    <row r="797" spans="6:7" ht="14.25" customHeight="1" x14ac:dyDescent="0.35">
      <c r="F797" s="2"/>
      <c r="G797" s="3"/>
    </row>
    <row r="798" spans="6:7" ht="14.25" customHeight="1" x14ac:dyDescent="0.35">
      <c r="F798" s="2"/>
      <c r="G798" s="3"/>
    </row>
    <row r="799" spans="6:7" ht="14.25" customHeight="1" x14ac:dyDescent="0.35">
      <c r="F799" s="2"/>
      <c r="G799" s="3"/>
    </row>
    <row r="800" spans="6:7" ht="14.25" customHeight="1" x14ac:dyDescent="0.35">
      <c r="F800" s="2"/>
      <c r="G800" s="3"/>
    </row>
    <row r="801" spans="6:7" ht="14.25" customHeight="1" x14ac:dyDescent="0.35">
      <c r="F801" s="2"/>
      <c r="G801" s="3"/>
    </row>
    <row r="802" spans="6:7" ht="14.25" customHeight="1" x14ac:dyDescent="0.35">
      <c r="F802" s="2"/>
      <c r="G802" s="3"/>
    </row>
    <row r="803" spans="6:7" ht="14.25" customHeight="1" x14ac:dyDescent="0.35">
      <c r="F803" s="2"/>
      <c r="G803" s="3"/>
    </row>
    <row r="804" spans="6:7" ht="14.25" customHeight="1" x14ac:dyDescent="0.35">
      <c r="F804" s="2"/>
      <c r="G804" s="3"/>
    </row>
    <row r="805" spans="6:7" ht="14.25" customHeight="1" x14ac:dyDescent="0.35">
      <c r="F805" s="2"/>
      <c r="G805" s="3"/>
    </row>
    <row r="806" spans="6:7" ht="14.25" customHeight="1" x14ac:dyDescent="0.35">
      <c r="F806" s="2"/>
      <c r="G806" s="3"/>
    </row>
    <row r="807" spans="6:7" ht="14.25" customHeight="1" x14ac:dyDescent="0.35">
      <c r="F807" s="2"/>
      <c r="G807" s="3"/>
    </row>
    <row r="808" spans="6:7" ht="14.25" customHeight="1" x14ac:dyDescent="0.35">
      <c r="F808" s="2"/>
      <c r="G808" s="3"/>
    </row>
    <row r="809" spans="6:7" ht="14.25" customHeight="1" x14ac:dyDescent="0.35">
      <c r="F809" s="2"/>
      <c r="G809" s="3"/>
    </row>
    <row r="810" spans="6:7" ht="14.25" customHeight="1" x14ac:dyDescent="0.35">
      <c r="F810" s="2"/>
      <c r="G810" s="3"/>
    </row>
    <row r="811" spans="6:7" ht="14.25" customHeight="1" x14ac:dyDescent="0.35">
      <c r="F811" s="2"/>
      <c r="G811" s="3"/>
    </row>
    <row r="812" spans="6:7" ht="14.25" customHeight="1" x14ac:dyDescent="0.35">
      <c r="F812" s="2"/>
      <c r="G812" s="3"/>
    </row>
    <row r="813" spans="6:7" ht="14.25" customHeight="1" x14ac:dyDescent="0.35">
      <c r="F813" s="2"/>
      <c r="G813" s="3"/>
    </row>
    <row r="814" spans="6:7" ht="14.25" customHeight="1" x14ac:dyDescent="0.35">
      <c r="F814" s="2"/>
      <c r="G814" s="3"/>
    </row>
    <row r="815" spans="6:7" ht="14.25" customHeight="1" x14ac:dyDescent="0.35">
      <c r="F815" s="2"/>
      <c r="G815" s="3"/>
    </row>
    <row r="816" spans="6:7" ht="14.25" customHeight="1" x14ac:dyDescent="0.35">
      <c r="F816" s="2"/>
      <c r="G816" s="3"/>
    </row>
    <row r="817" spans="6:7" ht="14.25" customHeight="1" x14ac:dyDescent="0.35">
      <c r="F817" s="2"/>
      <c r="G817" s="3"/>
    </row>
    <row r="818" spans="6:7" ht="14.25" customHeight="1" x14ac:dyDescent="0.35">
      <c r="F818" s="2"/>
      <c r="G818" s="3"/>
    </row>
    <row r="819" spans="6:7" ht="14.25" customHeight="1" x14ac:dyDescent="0.35">
      <c r="F819" s="2"/>
      <c r="G819" s="3"/>
    </row>
    <row r="820" spans="6:7" ht="14.25" customHeight="1" x14ac:dyDescent="0.35">
      <c r="F820" s="2"/>
      <c r="G820" s="3"/>
    </row>
    <row r="821" spans="6:7" ht="14.25" customHeight="1" x14ac:dyDescent="0.35">
      <c r="F821" s="2"/>
      <c r="G821" s="3"/>
    </row>
    <row r="822" spans="6:7" ht="14.25" customHeight="1" x14ac:dyDescent="0.35">
      <c r="F822" s="2"/>
      <c r="G822" s="3"/>
    </row>
    <row r="823" spans="6:7" ht="14.25" customHeight="1" x14ac:dyDescent="0.35">
      <c r="F823" s="2"/>
      <c r="G823" s="3"/>
    </row>
    <row r="824" spans="6:7" ht="14.25" customHeight="1" x14ac:dyDescent="0.35">
      <c r="F824" s="2"/>
      <c r="G824" s="3"/>
    </row>
    <row r="825" spans="6:7" ht="14.25" customHeight="1" x14ac:dyDescent="0.35">
      <c r="F825" s="2"/>
      <c r="G825" s="3"/>
    </row>
    <row r="826" spans="6:7" ht="14.25" customHeight="1" x14ac:dyDescent="0.35">
      <c r="F826" s="2"/>
      <c r="G826" s="3"/>
    </row>
    <row r="827" spans="6:7" ht="14.25" customHeight="1" x14ac:dyDescent="0.35">
      <c r="F827" s="2"/>
      <c r="G827" s="3"/>
    </row>
    <row r="828" spans="6:7" ht="14.25" customHeight="1" x14ac:dyDescent="0.35">
      <c r="F828" s="2"/>
      <c r="G828" s="3"/>
    </row>
    <row r="829" spans="6:7" ht="14.25" customHeight="1" x14ac:dyDescent="0.35">
      <c r="F829" s="2"/>
      <c r="G829" s="3"/>
    </row>
    <row r="830" spans="6:7" ht="14.25" customHeight="1" x14ac:dyDescent="0.35">
      <c r="F830" s="2"/>
      <c r="G830" s="3"/>
    </row>
    <row r="831" spans="6:7" ht="14.25" customHeight="1" x14ac:dyDescent="0.35">
      <c r="F831" s="2"/>
      <c r="G831" s="3"/>
    </row>
    <row r="832" spans="6:7" ht="14.25" customHeight="1" x14ac:dyDescent="0.35">
      <c r="F832" s="2"/>
      <c r="G832" s="3"/>
    </row>
    <row r="833" spans="6:7" ht="14.25" customHeight="1" x14ac:dyDescent="0.35">
      <c r="F833" s="2"/>
      <c r="G833" s="3"/>
    </row>
    <row r="834" spans="6:7" ht="14.25" customHeight="1" x14ac:dyDescent="0.35">
      <c r="F834" s="2"/>
      <c r="G834" s="3"/>
    </row>
    <row r="835" spans="6:7" ht="14.25" customHeight="1" x14ac:dyDescent="0.35">
      <c r="F835" s="2"/>
      <c r="G835" s="3"/>
    </row>
    <row r="836" spans="6:7" ht="14.25" customHeight="1" x14ac:dyDescent="0.35">
      <c r="F836" s="2"/>
      <c r="G836" s="3"/>
    </row>
    <row r="837" spans="6:7" ht="14.25" customHeight="1" x14ac:dyDescent="0.35">
      <c r="F837" s="2"/>
      <c r="G837" s="3"/>
    </row>
    <row r="838" spans="6:7" ht="14.25" customHeight="1" x14ac:dyDescent="0.35">
      <c r="F838" s="2"/>
      <c r="G838" s="3"/>
    </row>
    <row r="839" spans="6:7" ht="14.25" customHeight="1" x14ac:dyDescent="0.35">
      <c r="F839" s="2"/>
      <c r="G839" s="3"/>
    </row>
    <row r="840" spans="6:7" ht="14.25" customHeight="1" x14ac:dyDescent="0.35">
      <c r="F840" s="2"/>
      <c r="G840" s="3"/>
    </row>
    <row r="841" spans="6:7" ht="14.25" customHeight="1" x14ac:dyDescent="0.35">
      <c r="F841" s="2"/>
      <c r="G841" s="3"/>
    </row>
    <row r="842" spans="6:7" ht="14.25" customHeight="1" x14ac:dyDescent="0.35">
      <c r="F842" s="2"/>
      <c r="G842" s="3"/>
    </row>
    <row r="843" spans="6:7" ht="14.25" customHeight="1" x14ac:dyDescent="0.35">
      <c r="F843" s="2"/>
      <c r="G843" s="3"/>
    </row>
    <row r="844" spans="6:7" ht="14.25" customHeight="1" x14ac:dyDescent="0.35">
      <c r="F844" s="2"/>
      <c r="G844" s="3"/>
    </row>
    <row r="845" spans="6:7" ht="14.25" customHeight="1" x14ac:dyDescent="0.35">
      <c r="F845" s="2"/>
      <c r="G845" s="3"/>
    </row>
    <row r="846" spans="6:7" ht="14.25" customHeight="1" x14ac:dyDescent="0.35">
      <c r="F846" s="2"/>
      <c r="G846" s="3"/>
    </row>
    <row r="847" spans="6:7" ht="14.25" customHeight="1" x14ac:dyDescent="0.35">
      <c r="F847" s="2"/>
      <c r="G847" s="3"/>
    </row>
    <row r="848" spans="6:7" ht="14.25" customHeight="1" x14ac:dyDescent="0.35">
      <c r="F848" s="2"/>
      <c r="G848" s="3"/>
    </row>
    <row r="849" spans="6:7" ht="14.25" customHeight="1" x14ac:dyDescent="0.35">
      <c r="F849" s="2"/>
      <c r="G849" s="3"/>
    </row>
    <row r="850" spans="6:7" ht="14.25" customHeight="1" x14ac:dyDescent="0.35">
      <c r="F850" s="2"/>
      <c r="G850" s="3"/>
    </row>
    <row r="851" spans="6:7" ht="14.25" customHeight="1" x14ac:dyDescent="0.35">
      <c r="F851" s="2"/>
      <c r="G851" s="3"/>
    </row>
    <row r="852" spans="6:7" ht="14.25" customHeight="1" x14ac:dyDescent="0.35">
      <c r="F852" s="2"/>
      <c r="G852" s="3"/>
    </row>
    <row r="853" spans="6:7" ht="14.25" customHeight="1" x14ac:dyDescent="0.35">
      <c r="F853" s="2"/>
      <c r="G853" s="3"/>
    </row>
    <row r="854" spans="6:7" ht="14.25" customHeight="1" x14ac:dyDescent="0.35">
      <c r="F854" s="2"/>
      <c r="G854" s="3"/>
    </row>
    <row r="855" spans="6:7" ht="14.25" customHeight="1" x14ac:dyDescent="0.35">
      <c r="F855" s="2"/>
      <c r="G855" s="3"/>
    </row>
    <row r="856" spans="6:7" ht="14.25" customHeight="1" x14ac:dyDescent="0.35">
      <c r="F856" s="2"/>
      <c r="G856" s="3"/>
    </row>
    <row r="857" spans="6:7" ht="14.25" customHeight="1" x14ac:dyDescent="0.35">
      <c r="F857" s="2"/>
      <c r="G857" s="3"/>
    </row>
    <row r="858" spans="6:7" ht="14.25" customHeight="1" x14ac:dyDescent="0.35">
      <c r="F858" s="2"/>
      <c r="G858" s="3"/>
    </row>
    <row r="859" spans="6:7" ht="14.25" customHeight="1" x14ac:dyDescent="0.35">
      <c r="F859" s="2"/>
      <c r="G859" s="3"/>
    </row>
    <row r="860" spans="6:7" ht="14.25" customHeight="1" x14ac:dyDescent="0.35">
      <c r="F860" s="2"/>
      <c r="G860" s="3"/>
    </row>
    <row r="861" spans="6:7" ht="14.25" customHeight="1" x14ac:dyDescent="0.35">
      <c r="F861" s="2"/>
      <c r="G861" s="3"/>
    </row>
    <row r="862" spans="6:7" ht="14.25" customHeight="1" x14ac:dyDescent="0.35">
      <c r="F862" s="2"/>
      <c r="G862" s="3"/>
    </row>
    <row r="863" spans="6:7" ht="14.25" customHeight="1" x14ac:dyDescent="0.35">
      <c r="F863" s="2"/>
      <c r="G863" s="3"/>
    </row>
    <row r="864" spans="6:7" ht="14.25" customHeight="1" x14ac:dyDescent="0.35">
      <c r="F864" s="2"/>
      <c r="G864" s="3"/>
    </row>
    <row r="865" spans="6:7" ht="14.25" customHeight="1" x14ac:dyDescent="0.35">
      <c r="F865" s="2"/>
      <c r="G865" s="3"/>
    </row>
    <row r="866" spans="6:7" ht="14.25" customHeight="1" x14ac:dyDescent="0.35">
      <c r="F866" s="2"/>
      <c r="G866" s="3"/>
    </row>
    <row r="867" spans="6:7" ht="14.25" customHeight="1" x14ac:dyDescent="0.35">
      <c r="F867" s="2"/>
      <c r="G867" s="3"/>
    </row>
    <row r="868" spans="6:7" ht="14.25" customHeight="1" x14ac:dyDescent="0.35">
      <c r="F868" s="2"/>
      <c r="G868" s="3"/>
    </row>
    <row r="869" spans="6:7" ht="14.25" customHeight="1" x14ac:dyDescent="0.35">
      <c r="F869" s="2"/>
      <c r="G869" s="3"/>
    </row>
    <row r="870" spans="6:7" ht="14.25" customHeight="1" x14ac:dyDescent="0.35">
      <c r="F870" s="2"/>
      <c r="G870" s="3"/>
    </row>
    <row r="871" spans="6:7" ht="14.25" customHeight="1" x14ac:dyDescent="0.35">
      <c r="F871" s="2"/>
      <c r="G871" s="3"/>
    </row>
    <row r="872" spans="6:7" ht="14.25" customHeight="1" x14ac:dyDescent="0.35">
      <c r="F872" s="2"/>
      <c r="G872" s="3"/>
    </row>
    <row r="873" spans="6:7" ht="14.25" customHeight="1" x14ac:dyDescent="0.35">
      <c r="F873" s="2"/>
      <c r="G873" s="3"/>
    </row>
    <row r="874" spans="6:7" ht="14.25" customHeight="1" x14ac:dyDescent="0.35">
      <c r="F874" s="2"/>
      <c r="G874" s="3"/>
    </row>
    <row r="875" spans="6:7" ht="14.25" customHeight="1" x14ac:dyDescent="0.35">
      <c r="F875" s="2"/>
      <c r="G875" s="3"/>
    </row>
    <row r="876" spans="6:7" ht="14.25" customHeight="1" x14ac:dyDescent="0.35">
      <c r="F876" s="2"/>
      <c r="G876" s="3"/>
    </row>
    <row r="877" spans="6:7" ht="14.25" customHeight="1" x14ac:dyDescent="0.35">
      <c r="F877" s="2"/>
      <c r="G877" s="3"/>
    </row>
    <row r="878" spans="6:7" ht="14.25" customHeight="1" x14ac:dyDescent="0.35">
      <c r="F878" s="2"/>
      <c r="G878" s="3"/>
    </row>
    <row r="879" spans="6:7" ht="14.25" customHeight="1" x14ac:dyDescent="0.35">
      <c r="F879" s="2"/>
      <c r="G879" s="3"/>
    </row>
    <row r="880" spans="6:7" ht="14.25" customHeight="1" x14ac:dyDescent="0.35">
      <c r="F880" s="2"/>
      <c r="G880" s="3"/>
    </row>
    <row r="881" spans="6:7" ht="14.25" customHeight="1" x14ac:dyDescent="0.35">
      <c r="F881" s="2"/>
      <c r="G881" s="3"/>
    </row>
    <row r="882" spans="6:7" ht="14.25" customHeight="1" x14ac:dyDescent="0.35">
      <c r="F882" s="2"/>
      <c r="G882" s="3"/>
    </row>
    <row r="883" spans="6:7" ht="14.25" customHeight="1" x14ac:dyDescent="0.35">
      <c r="F883" s="2"/>
      <c r="G883" s="3"/>
    </row>
    <row r="884" spans="6:7" ht="14.25" customHeight="1" x14ac:dyDescent="0.35">
      <c r="F884" s="2"/>
      <c r="G884" s="3"/>
    </row>
    <row r="885" spans="6:7" ht="14.25" customHeight="1" x14ac:dyDescent="0.35">
      <c r="F885" s="2"/>
      <c r="G885" s="3"/>
    </row>
    <row r="886" spans="6:7" ht="14.25" customHeight="1" x14ac:dyDescent="0.35">
      <c r="F886" s="2"/>
      <c r="G886" s="3"/>
    </row>
    <row r="887" spans="6:7" ht="14.25" customHeight="1" x14ac:dyDescent="0.35">
      <c r="F887" s="2"/>
      <c r="G887" s="3"/>
    </row>
    <row r="888" spans="6:7" ht="14.25" customHeight="1" x14ac:dyDescent="0.35">
      <c r="F888" s="2"/>
      <c r="G888" s="3"/>
    </row>
    <row r="889" spans="6:7" ht="14.25" customHeight="1" x14ac:dyDescent="0.35">
      <c r="F889" s="2"/>
      <c r="G889" s="3"/>
    </row>
    <row r="890" spans="6:7" ht="14.25" customHeight="1" x14ac:dyDescent="0.35">
      <c r="F890" s="2"/>
      <c r="G890" s="3"/>
    </row>
    <row r="891" spans="6:7" ht="14.25" customHeight="1" x14ac:dyDescent="0.35">
      <c r="F891" s="2"/>
      <c r="G891" s="3"/>
    </row>
    <row r="892" spans="6:7" ht="14.25" customHeight="1" x14ac:dyDescent="0.35">
      <c r="F892" s="2"/>
      <c r="G892" s="3"/>
    </row>
    <row r="893" spans="6:7" ht="14.25" customHeight="1" x14ac:dyDescent="0.35">
      <c r="F893" s="2"/>
      <c r="G893" s="3"/>
    </row>
    <row r="894" spans="6:7" ht="14.25" customHeight="1" x14ac:dyDescent="0.35">
      <c r="F894" s="2"/>
      <c r="G894" s="3"/>
    </row>
    <row r="895" spans="6:7" ht="14.25" customHeight="1" x14ac:dyDescent="0.35">
      <c r="F895" s="2"/>
      <c r="G895" s="3"/>
    </row>
    <row r="896" spans="6:7" ht="14.25" customHeight="1" x14ac:dyDescent="0.35">
      <c r="F896" s="2"/>
      <c r="G896" s="3"/>
    </row>
    <row r="897" spans="6:7" ht="14.25" customHeight="1" x14ac:dyDescent="0.35">
      <c r="F897" s="2"/>
      <c r="G897" s="3"/>
    </row>
    <row r="898" spans="6:7" ht="14.25" customHeight="1" x14ac:dyDescent="0.35">
      <c r="F898" s="2"/>
      <c r="G898" s="3"/>
    </row>
    <row r="899" spans="6:7" ht="14.25" customHeight="1" x14ac:dyDescent="0.35">
      <c r="F899" s="2"/>
      <c r="G899" s="3"/>
    </row>
    <row r="900" spans="6:7" ht="14.25" customHeight="1" x14ac:dyDescent="0.35">
      <c r="F900" s="2"/>
      <c r="G900" s="3"/>
    </row>
    <row r="901" spans="6:7" ht="14.25" customHeight="1" x14ac:dyDescent="0.35">
      <c r="F901" s="2"/>
      <c r="G901" s="3"/>
    </row>
    <row r="902" spans="6:7" ht="14.25" customHeight="1" x14ac:dyDescent="0.35">
      <c r="F902" s="2"/>
      <c r="G902" s="3"/>
    </row>
    <row r="903" spans="6:7" ht="14.25" customHeight="1" x14ac:dyDescent="0.35">
      <c r="F903" s="2"/>
      <c r="G903" s="3"/>
    </row>
    <row r="904" spans="6:7" ht="14.25" customHeight="1" x14ac:dyDescent="0.35">
      <c r="F904" s="2"/>
      <c r="G904" s="3"/>
    </row>
    <row r="905" spans="6:7" ht="14.25" customHeight="1" x14ac:dyDescent="0.35">
      <c r="F905" s="2"/>
      <c r="G905" s="3"/>
    </row>
    <row r="906" spans="6:7" ht="14.25" customHeight="1" x14ac:dyDescent="0.35">
      <c r="F906" s="2"/>
      <c r="G906" s="3"/>
    </row>
    <row r="907" spans="6:7" ht="14.25" customHeight="1" x14ac:dyDescent="0.35">
      <c r="F907" s="2"/>
      <c r="G907" s="3"/>
    </row>
    <row r="908" spans="6:7" ht="14.25" customHeight="1" x14ac:dyDescent="0.35">
      <c r="F908" s="2"/>
      <c r="G908" s="3"/>
    </row>
    <row r="909" spans="6:7" ht="14.25" customHeight="1" x14ac:dyDescent="0.35">
      <c r="F909" s="2"/>
      <c r="G909" s="3"/>
    </row>
    <row r="910" spans="6:7" ht="14.25" customHeight="1" x14ac:dyDescent="0.35">
      <c r="F910" s="2"/>
      <c r="G910" s="3"/>
    </row>
    <row r="911" spans="6:7" ht="14.25" customHeight="1" x14ac:dyDescent="0.35">
      <c r="F911" s="2"/>
      <c r="G911" s="3"/>
    </row>
    <row r="912" spans="6:7" ht="14.25" customHeight="1" x14ac:dyDescent="0.35">
      <c r="F912" s="2"/>
      <c r="G912" s="3"/>
    </row>
    <row r="913" spans="6:7" ht="14.25" customHeight="1" x14ac:dyDescent="0.35">
      <c r="F913" s="2"/>
      <c r="G913" s="3"/>
    </row>
    <row r="914" spans="6:7" ht="14.25" customHeight="1" x14ac:dyDescent="0.35">
      <c r="F914" s="2"/>
      <c r="G914" s="3"/>
    </row>
    <row r="915" spans="6:7" ht="14.25" customHeight="1" x14ac:dyDescent="0.35">
      <c r="F915" s="2"/>
      <c r="G915" s="3"/>
    </row>
    <row r="916" spans="6:7" ht="14.25" customHeight="1" x14ac:dyDescent="0.35">
      <c r="F916" s="2"/>
      <c r="G916" s="3"/>
    </row>
    <row r="917" spans="6:7" ht="14.25" customHeight="1" x14ac:dyDescent="0.35">
      <c r="F917" s="2"/>
      <c r="G917" s="3"/>
    </row>
    <row r="918" spans="6:7" ht="14.25" customHeight="1" x14ac:dyDescent="0.35">
      <c r="F918" s="2"/>
      <c r="G918" s="3"/>
    </row>
    <row r="919" spans="6:7" ht="14.25" customHeight="1" x14ac:dyDescent="0.35">
      <c r="F919" s="2"/>
      <c r="G919" s="3"/>
    </row>
    <row r="920" spans="6:7" ht="14.25" customHeight="1" x14ac:dyDescent="0.35">
      <c r="F920" s="2"/>
      <c r="G920" s="3"/>
    </row>
    <row r="921" spans="6:7" ht="14.25" customHeight="1" x14ac:dyDescent="0.35">
      <c r="F921" s="2"/>
      <c r="G921" s="3"/>
    </row>
    <row r="922" spans="6:7" ht="14.25" customHeight="1" x14ac:dyDescent="0.35">
      <c r="F922" s="2"/>
      <c r="G922" s="3"/>
    </row>
    <row r="923" spans="6:7" ht="14.25" customHeight="1" x14ac:dyDescent="0.35">
      <c r="F923" s="2"/>
      <c r="G923" s="3"/>
    </row>
    <row r="924" spans="6:7" ht="14.25" customHeight="1" x14ac:dyDescent="0.35">
      <c r="F924" s="2"/>
      <c r="G924" s="3"/>
    </row>
    <row r="925" spans="6:7" ht="14.25" customHeight="1" x14ac:dyDescent="0.35">
      <c r="F925" s="2"/>
      <c r="G925" s="3"/>
    </row>
    <row r="926" spans="6:7" ht="14.25" customHeight="1" x14ac:dyDescent="0.35">
      <c r="F926" s="2"/>
      <c r="G926" s="3"/>
    </row>
    <row r="927" spans="6:7" ht="14.25" customHeight="1" x14ac:dyDescent="0.35">
      <c r="F927" s="2"/>
      <c r="G927" s="3"/>
    </row>
    <row r="928" spans="6:7" ht="14.25" customHeight="1" x14ac:dyDescent="0.35">
      <c r="F928" s="2"/>
      <c r="G928" s="3"/>
    </row>
    <row r="929" spans="6:7" ht="14.25" customHeight="1" x14ac:dyDescent="0.35">
      <c r="F929" s="2"/>
      <c r="G929" s="3"/>
    </row>
    <row r="930" spans="6:7" ht="14.25" customHeight="1" x14ac:dyDescent="0.35">
      <c r="F930" s="2"/>
      <c r="G930" s="3"/>
    </row>
    <row r="931" spans="6:7" ht="14.25" customHeight="1" x14ac:dyDescent="0.35">
      <c r="F931" s="2"/>
      <c r="G931" s="3"/>
    </row>
    <row r="932" spans="6:7" ht="14.25" customHeight="1" x14ac:dyDescent="0.35">
      <c r="F932" s="2"/>
      <c r="G932" s="3"/>
    </row>
    <row r="933" spans="6:7" ht="14.25" customHeight="1" x14ac:dyDescent="0.35">
      <c r="F933" s="2"/>
      <c r="G933" s="3"/>
    </row>
    <row r="934" spans="6:7" ht="14.25" customHeight="1" x14ac:dyDescent="0.35">
      <c r="F934" s="2"/>
      <c r="G934" s="3"/>
    </row>
    <row r="935" spans="6:7" ht="14.25" customHeight="1" x14ac:dyDescent="0.35">
      <c r="F935" s="2"/>
      <c r="G935" s="3"/>
    </row>
    <row r="936" spans="6:7" ht="14.25" customHeight="1" x14ac:dyDescent="0.35">
      <c r="F936" s="2"/>
      <c r="G936" s="3"/>
    </row>
    <row r="937" spans="6:7" ht="14.25" customHeight="1" x14ac:dyDescent="0.35">
      <c r="F937" s="2"/>
      <c r="G937" s="3"/>
    </row>
    <row r="938" spans="6:7" ht="14.25" customHeight="1" x14ac:dyDescent="0.35">
      <c r="F938" s="2"/>
      <c r="G938" s="3"/>
    </row>
    <row r="939" spans="6:7" ht="14.25" customHeight="1" x14ac:dyDescent="0.35">
      <c r="F939" s="2"/>
      <c r="G939" s="3"/>
    </row>
    <row r="940" spans="6:7" ht="14.25" customHeight="1" x14ac:dyDescent="0.35">
      <c r="F940" s="2"/>
      <c r="G940" s="3"/>
    </row>
    <row r="941" spans="6:7" ht="14.25" customHeight="1" x14ac:dyDescent="0.35">
      <c r="F941" s="2"/>
      <c r="G941" s="3"/>
    </row>
    <row r="942" spans="6:7" ht="14.25" customHeight="1" x14ac:dyDescent="0.35">
      <c r="F942" s="2"/>
      <c r="G942" s="3"/>
    </row>
    <row r="943" spans="6:7" ht="14.25" customHeight="1" x14ac:dyDescent="0.35">
      <c r="F943" s="2"/>
      <c r="G943" s="3"/>
    </row>
    <row r="944" spans="6:7" ht="14.25" customHeight="1" x14ac:dyDescent="0.35">
      <c r="F944" s="2"/>
      <c r="G944" s="3"/>
    </row>
    <row r="945" spans="6:7" ht="14.25" customHeight="1" x14ac:dyDescent="0.35">
      <c r="F945" s="2"/>
      <c r="G945" s="3"/>
    </row>
    <row r="946" spans="6:7" ht="14.25" customHeight="1" x14ac:dyDescent="0.35">
      <c r="F946" s="2"/>
      <c r="G946" s="3"/>
    </row>
    <row r="947" spans="6:7" ht="14.25" customHeight="1" x14ac:dyDescent="0.35">
      <c r="F947" s="2"/>
      <c r="G947" s="3"/>
    </row>
    <row r="948" spans="6:7" ht="14.25" customHeight="1" x14ac:dyDescent="0.35">
      <c r="F948" s="2"/>
      <c r="G948" s="3"/>
    </row>
    <row r="949" spans="6:7" ht="14.25" customHeight="1" x14ac:dyDescent="0.35">
      <c r="F949" s="2"/>
      <c r="G949" s="3"/>
    </row>
    <row r="950" spans="6:7" ht="14.25" customHeight="1" x14ac:dyDescent="0.35">
      <c r="F950" s="2"/>
      <c r="G950" s="3"/>
    </row>
    <row r="951" spans="6:7" ht="14.25" customHeight="1" x14ac:dyDescent="0.35">
      <c r="F951" s="2"/>
      <c r="G951" s="3"/>
    </row>
    <row r="952" spans="6:7" ht="14.25" customHeight="1" x14ac:dyDescent="0.35">
      <c r="F952" s="2"/>
      <c r="G952" s="3"/>
    </row>
    <row r="953" spans="6:7" ht="14.25" customHeight="1" x14ac:dyDescent="0.35">
      <c r="F953" s="2"/>
      <c r="G953" s="3"/>
    </row>
    <row r="954" spans="6:7" ht="14.25" customHeight="1" x14ac:dyDescent="0.35">
      <c r="F954" s="2"/>
      <c r="G954" s="3"/>
    </row>
    <row r="955" spans="6:7" ht="14.25" customHeight="1" x14ac:dyDescent="0.35">
      <c r="F955" s="2"/>
      <c r="G955" s="3"/>
    </row>
    <row r="956" spans="6:7" ht="14.25" customHeight="1" x14ac:dyDescent="0.35">
      <c r="F956" s="2"/>
      <c r="G956" s="3"/>
    </row>
    <row r="957" spans="6:7" ht="14.25" customHeight="1" x14ac:dyDescent="0.35">
      <c r="F957" s="2"/>
      <c r="G957" s="3"/>
    </row>
    <row r="958" spans="6:7" ht="14.25" customHeight="1" x14ac:dyDescent="0.35">
      <c r="F958" s="2"/>
      <c r="G958" s="3"/>
    </row>
    <row r="959" spans="6:7" ht="14.25" customHeight="1" x14ac:dyDescent="0.35">
      <c r="F959" s="2"/>
      <c r="G959" s="3"/>
    </row>
    <row r="960" spans="6:7" ht="14.25" customHeight="1" x14ac:dyDescent="0.35">
      <c r="F960" s="2"/>
      <c r="G960" s="3"/>
    </row>
    <row r="961" spans="6:7" ht="14.25" customHeight="1" x14ac:dyDescent="0.35">
      <c r="F961" s="2"/>
      <c r="G961" s="3"/>
    </row>
    <row r="962" spans="6:7" ht="14.25" customHeight="1" x14ac:dyDescent="0.35">
      <c r="F962" s="2"/>
      <c r="G962" s="3"/>
    </row>
    <row r="963" spans="6:7" ht="14.25" customHeight="1" x14ac:dyDescent="0.35">
      <c r="F963" s="2"/>
      <c r="G963" s="3"/>
    </row>
    <row r="964" spans="6:7" ht="14.25" customHeight="1" x14ac:dyDescent="0.35">
      <c r="F964" s="2"/>
      <c r="G964" s="3"/>
    </row>
    <row r="965" spans="6:7" ht="14.25" customHeight="1" x14ac:dyDescent="0.35">
      <c r="F965" s="2"/>
      <c r="G965" s="3"/>
    </row>
    <row r="966" spans="6:7" ht="14.25" customHeight="1" x14ac:dyDescent="0.35">
      <c r="F966" s="2"/>
      <c r="G966" s="3"/>
    </row>
    <row r="967" spans="6:7" ht="14.25" customHeight="1" x14ac:dyDescent="0.35">
      <c r="F967" s="2"/>
      <c r="G967" s="3"/>
    </row>
    <row r="968" spans="6:7" ht="14.25" customHeight="1" x14ac:dyDescent="0.35">
      <c r="F968" s="2"/>
      <c r="G968" s="3"/>
    </row>
    <row r="969" spans="6:7" ht="14.25" customHeight="1" x14ac:dyDescent="0.35">
      <c r="F969" s="2"/>
      <c r="G969" s="3"/>
    </row>
    <row r="970" spans="6:7" ht="14.25" customHeight="1" x14ac:dyDescent="0.35">
      <c r="F970" s="2"/>
      <c r="G970" s="3"/>
    </row>
    <row r="971" spans="6:7" ht="14.25" customHeight="1" x14ac:dyDescent="0.35">
      <c r="F971" s="2"/>
      <c r="G971" s="3"/>
    </row>
    <row r="972" spans="6:7" ht="14.25" customHeight="1" x14ac:dyDescent="0.35">
      <c r="F972" s="2"/>
      <c r="G972" s="3"/>
    </row>
    <row r="973" spans="6:7" ht="14.25" customHeight="1" x14ac:dyDescent="0.35">
      <c r="F973" s="2"/>
      <c r="G973" s="3"/>
    </row>
    <row r="974" spans="6:7" ht="14.25" customHeight="1" x14ac:dyDescent="0.35">
      <c r="F974" s="2"/>
      <c r="G974" s="3"/>
    </row>
    <row r="975" spans="6:7" ht="14.25" customHeight="1" x14ac:dyDescent="0.35">
      <c r="F975" s="2"/>
      <c r="G975" s="3"/>
    </row>
    <row r="976" spans="6:7" ht="14.25" customHeight="1" x14ac:dyDescent="0.35">
      <c r="F976" s="2"/>
      <c r="G976" s="3"/>
    </row>
    <row r="977" spans="6:7" ht="14.25" customHeight="1" x14ac:dyDescent="0.35">
      <c r="F977" s="2"/>
      <c r="G977" s="3"/>
    </row>
    <row r="978" spans="6:7" ht="14.25" customHeight="1" x14ac:dyDescent="0.35">
      <c r="F978" s="2"/>
      <c r="G978" s="3"/>
    </row>
    <row r="979" spans="6:7" ht="14.25" customHeight="1" x14ac:dyDescent="0.35">
      <c r="F979" s="2"/>
      <c r="G979" s="3"/>
    </row>
    <row r="980" spans="6:7" ht="14.25" customHeight="1" x14ac:dyDescent="0.35">
      <c r="F980" s="2"/>
      <c r="G980" s="3"/>
    </row>
    <row r="981" spans="6:7" ht="14.25" customHeight="1" x14ac:dyDescent="0.35">
      <c r="F981" s="2"/>
      <c r="G981" s="3"/>
    </row>
    <row r="982" spans="6:7" ht="14.25" customHeight="1" x14ac:dyDescent="0.35">
      <c r="F982" s="2"/>
      <c r="G982" s="3"/>
    </row>
    <row r="983" spans="6:7" ht="14.25" customHeight="1" x14ac:dyDescent="0.35">
      <c r="F983" s="2"/>
      <c r="G983" s="3"/>
    </row>
    <row r="984" spans="6:7" ht="14.25" customHeight="1" x14ac:dyDescent="0.35">
      <c r="F984" s="2"/>
      <c r="G984" s="3"/>
    </row>
    <row r="985" spans="6:7" ht="14.25" customHeight="1" x14ac:dyDescent="0.35">
      <c r="F985" s="2"/>
      <c r="G985" s="3"/>
    </row>
    <row r="986" spans="6:7" ht="14.25" customHeight="1" x14ac:dyDescent="0.35">
      <c r="F986" s="2"/>
      <c r="G986" s="3"/>
    </row>
    <row r="987" spans="6:7" ht="14.25" customHeight="1" x14ac:dyDescent="0.35">
      <c r="F987" s="2"/>
      <c r="G987" s="3"/>
    </row>
    <row r="988" spans="6:7" ht="14.25" customHeight="1" x14ac:dyDescent="0.35">
      <c r="F988" s="2"/>
      <c r="G988" s="3"/>
    </row>
    <row r="989" spans="6:7" ht="14.25" customHeight="1" x14ac:dyDescent="0.35">
      <c r="F989" s="2"/>
      <c r="G989" s="3"/>
    </row>
    <row r="990" spans="6:7" ht="14.25" customHeight="1" x14ac:dyDescent="0.35">
      <c r="F990" s="2"/>
      <c r="G990" s="3"/>
    </row>
    <row r="991" spans="6:7" ht="14.25" customHeight="1" x14ac:dyDescent="0.35">
      <c r="F991" s="2"/>
      <c r="G991" s="3"/>
    </row>
    <row r="992" spans="6:7" ht="14.25" customHeight="1" x14ac:dyDescent="0.35">
      <c r="F992" s="2"/>
      <c r="G992" s="3"/>
    </row>
    <row r="993" spans="6:7" ht="14.25" customHeight="1" x14ac:dyDescent="0.35">
      <c r="F993" s="2"/>
      <c r="G993" s="3"/>
    </row>
    <row r="994" spans="6:7" ht="14.25" customHeight="1" x14ac:dyDescent="0.35">
      <c r="F994" s="2"/>
      <c r="G994" s="3"/>
    </row>
    <row r="995" spans="6:7" ht="14.25" customHeight="1" x14ac:dyDescent="0.35">
      <c r="F995" s="2"/>
      <c r="G995" s="3"/>
    </row>
    <row r="996" spans="6:7" ht="14.25" customHeight="1" x14ac:dyDescent="0.35">
      <c r="F996" s="2"/>
      <c r="G996" s="3"/>
    </row>
    <row r="997" spans="6:7" ht="14.25" customHeight="1" x14ac:dyDescent="0.35">
      <c r="F997" s="2"/>
      <c r="G997" s="3"/>
    </row>
    <row r="998" spans="6:7" ht="14.25" customHeight="1" x14ac:dyDescent="0.35">
      <c r="F998" s="2"/>
      <c r="G998" s="3"/>
    </row>
    <row r="999" spans="6:7" ht="14.25" customHeight="1" x14ac:dyDescent="0.35">
      <c r="F999" s="2"/>
      <c r="G999" s="3"/>
    </row>
    <row r="1000" spans="6:7" ht="14.25" customHeight="1" x14ac:dyDescent="0.35">
      <c r="F1000" s="2"/>
      <c r="G1000" s="3"/>
    </row>
    <row r="1001" spans="6:7" ht="14.25" customHeight="1" x14ac:dyDescent="0.35">
      <c r="F1001" s="2"/>
      <c r="G1001" s="3"/>
    </row>
    <row r="1002" spans="6:7" ht="14.25" customHeight="1" x14ac:dyDescent="0.35">
      <c r="F1002" s="2"/>
      <c r="G1002" s="3"/>
    </row>
    <row r="1003" spans="6:7" ht="14.25" customHeight="1" x14ac:dyDescent="0.35">
      <c r="F1003" s="2"/>
      <c r="G1003" s="3"/>
    </row>
    <row r="1004" spans="6:7" ht="14.25" customHeight="1" x14ac:dyDescent="0.35">
      <c r="F1004" s="2"/>
      <c r="G1004" s="3"/>
    </row>
    <row r="1005" spans="6:7" ht="14.25" customHeight="1" x14ac:dyDescent="0.35">
      <c r="F1005" s="2"/>
      <c r="G1005" s="3"/>
    </row>
    <row r="1006" spans="6:7" ht="14.25" customHeight="1" x14ac:dyDescent="0.35">
      <c r="F1006" s="2"/>
      <c r="G1006" s="3"/>
    </row>
    <row r="1007" spans="6:7" ht="14.25" customHeight="1" x14ac:dyDescent="0.35">
      <c r="F1007" s="2"/>
      <c r="G1007" s="3"/>
    </row>
    <row r="1008" spans="6:7" ht="14.25" customHeight="1" x14ac:dyDescent="0.35">
      <c r="F1008" s="2"/>
      <c r="G1008" s="3"/>
    </row>
    <row r="1009" spans="6:7" ht="14.25" customHeight="1" x14ac:dyDescent="0.35">
      <c r="F1009" s="2"/>
      <c r="G1009" s="3"/>
    </row>
    <row r="1010" spans="6:7" ht="14.25" customHeight="1" x14ac:dyDescent="0.35">
      <c r="F1010" s="2"/>
      <c r="G1010" s="3"/>
    </row>
    <row r="1011" spans="6:7" ht="14.25" customHeight="1" x14ac:dyDescent="0.35">
      <c r="F1011" s="2"/>
      <c r="G1011" s="3"/>
    </row>
    <row r="1012" spans="6:7" ht="14.25" customHeight="1" x14ac:dyDescent="0.35">
      <c r="F1012" s="2"/>
      <c r="G1012" s="3"/>
    </row>
    <row r="1013" spans="6:7" ht="14.25" customHeight="1" x14ac:dyDescent="0.35">
      <c r="F1013" s="2"/>
      <c r="G1013" s="3"/>
    </row>
    <row r="1014" spans="6:7" ht="14.25" customHeight="1" x14ac:dyDescent="0.35">
      <c r="F1014" s="2"/>
      <c r="G1014" s="3"/>
    </row>
    <row r="1015" spans="6:7" ht="14.25" customHeight="1" x14ac:dyDescent="0.35">
      <c r="F1015" s="2"/>
      <c r="G1015" s="3"/>
    </row>
    <row r="1016" spans="6:7" ht="14.25" customHeight="1" x14ac:dyDescent="0.35">
      <c r="F1016" s="2"/>
      <c r="G1016" s="3"/>
    </row>
    <row r="1017" spans="6:7" ht="14.25" customHeight="1" x14ac:dyDescent="0.35">
      <c r="F1017" s="2"/>
      <c r="G1017" s="3"/>
    </row>
    <row r="1018" spans="6:7" ht="14.25" customHeight="1" x14ac:dyDescent="0.35">
      <c r="F1018" s="2"/>
      <c r="G1018" s="3"/>
    </row>
    <row r="1019" spans="6:7" ht="14.25" customHeight="1" x14ac:dyDescent="0.35">
      <c r="F1019" s="2"/>
      <c r="G1019" s="3"/>
    </row>
    <row r="1020" spans="6:7" ht="14.25" customHeight="1" x14ac:dyDescent="0.35">
      <c r="F1020" s="2"/>
      <c r="G1020" s="3"/>
    </row>
    <row r="1021" spans="6:7" ht="14.25" customHeight="1" x14ac:dyDescent="0.35">
      <c r="F1021" s="2"/>
      <c r="G1021" s="3"/>
    </row>
    <row r="1022" spans="6:7" ht="14.25" customHeight="1" x14ac:dyDescent="0.35">
      <c r="F1022" s="2"/>
      <c r="G1022" s="3"/>
    </row>
    <row r="1023" spans="6:7" ht="14.25" customHeight="1" x14ac:dyDescent="0.35">
      <c r="F1023" s="2"/>
      <c r="G1023" s="3"/>
    </row>
    <row r="1024" spans="6:7" ht="14.25" customHeight="1" x14ac:dyDescent="0.35">
      <c r="F1024" s="2"/>
      <c r="G1024" s="3"/>
    </row>
    <row r="1025" s="1" customFormat="1" ht="15" customHeight="1" x14ac:dyDescent="0.35"/>
    <row r="1026" s="1" customFormat="1" ht="15" customHeight="1" x14ac:dyDescent="0.35"/>
    <row r="1027" s="1" customFormat="1" ht="15" customHeight="1" x14ac:dyDescent="0.35"/>
    <row r="1028" s="1" customFormat="1" ht="15" customHeight="1" x14ac:dyDescent="0.35"/>
    <row r="1029" s="1" customFormat="1" ht="15" customHeight="1" x14ac:dyDescent="0.35"/>
    <row r="1030" s="1" customFormat="1" ht="15" customHeight="1" x14ac:dyDescent="0.35"/>
    <row r="1031" s="1" customFormat="1" ht="15" customHeight="1" x14ac:dyDescent="0.35"/>
    <row r="1032" s="1" customFormat="1" ht="15" customHeight="1" x14ac:dyDescent="0.35"/>
    <row r="1033" s="1" customFormat="1" ht="15" customHeight="1" x14ac:dyDescent="0.35"/>
    <row r="1034" s="1" customFormat="1" ht="15" customHeight="1" x14ac:dyDescent="0.35"/>
  </sheetData>
  <mergeCells count="31">
    <mergeCell ref="B2:E2"/>
    <mergeCell ref="B3:E15"/>
    <mergeCell ref="B17:D17"/>
    <mergeCell ref="B18:C18"/>
    <mergeCell ref="B19:C19"/>
    <mergeCell ref="B20:C20"/>
    <mergeCell ref="B21:C21"/>
    <mergeCell ref="B22:C22"/>
    <mergeCell ref="B23:C23"/>
    <mergeCell ref="F27:H27"/>
    <mergeCell ref="F29:H29"/>
    <mergeCell ref="F28:H28"/>
    <mergeCell ref="B89:D89"/>
    <mergeCell ref="B36:C36"/>
    <mergeCell ref="B37:D37"/>
    <mergeCell ref="B50:D50"/>
    <mergeCell ref="B63:D63"/>
    <mergeCell ref="B76:D76"/>
    <mergeCell ref="F30:H30"/>
    <mergeCell ref="F31:H31"/>
    <mergeCell ref="F32:H32"/>
    <mergeCell ref="B102:D102"/>
    <mergeCell ref="B115:D115"/>
    <mergeCell ref="F120:G120"/>
    <mergeCell ref="I120:K120"/>
    <mergeCell ref="B121:D121"/>
    <mergeCell ref="F121:G121"/>
    <mergeCell ref="B119:D119"/>
    <mergeCell ref="B116:D116"/>
    <mergeCell ref="B117:D117"/>
    <mergeCell ref="B118:D118"/>
  </mergeCells>
  <dataValidations count="1">
    <dataValidation type="list" allowBlank="1" showErrorMessage="1" sqref="E77:E88 E64:E75 E103:E114 E51:E62 E38:E49 E90:E101" xr:uid="{17F0E494-4E32-4F41-B9E0-30A839A89BB2}">
      <formula1>"QA,PIP,PCA,Other"</formula1>
    </dataValidation>
  </dataValidations>
  <pageMargins left="0.25" right="0.25" top="0.25" bottom="0.25" header="0.25" footer="0.25"/>
  <pageSetup paperSize="5" scale="36" orientation="landscape" r:id="rId1"/>
  <headerFooter>
    <oddFooter>&amp;C&amp;"-,Bold" Confidential&amp;RPage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914CE-EBFA-4C74-88DA-EDA37D38E034}">
  <sheetPr>
    <tabColor theme="5" tint="0.79998168889431442"/>
    <pageSetUpPr fitToPage="1"/>
  </sheetPr>
  <dimension ref="A1:AB1034"/>
  <sheetViews>
    <sheetView showGridLines="0" zoomScale="85" zoomScaleNormal="85" workbookViewId="0"/>
  </sheetViews>
  <sheetFormatPr defaultColWidth="12.58203125" defaultRowHeight="15" customHeight="1" x14ac:dyDescent="0.35"/>
  <cols>
    <col min="1" max="1" width="1.58203125" style="1" customWidth="1"/>
    <col min="2" max="2" width="5.25" style="1" customWidth="1"/>
    <col min="3" max="3" width="38.33203125" style="1" customWidth="1"/>
    <col min="4" max="4" width="37.58203125" style="1" customWidth="1"/>
    <col min="5" max="5" width="11" style="1" customWidth="1"/>
    <col min="6" max="6" width="10.08203125" style="1" customWidth="1"/>
    <col min="7" max="7" width="14.33203125" style="1" customWidth="1"/>
    <col min="8" max="8" width="14.08203125" style="1" customWidth="1"/>
    <col min="9" max="25" width="15.33203125" style="1" customWidth="1"/>
    <col min="26" max="26" width="8" style="1" customWidth="1"/>
    <col min="27" max="16384" width="12.58203125" style="1"/>
  </cols>
  <sheetData>
    <row r="1" spans="2:28" ht="14.25" customHeight="1" thickBot="1" x14ac:dyDescent="0.4">
      <c r="F1" s="2"/>
      <c r="G1" s="3"/>
    </row>
    <row r="2" spans="2:28" ht="16" thickBot="1" x14ac:dyDescent="0.4">
      <c r="B2" s="177" t="s">
        <v>0</v>
      </c>
      <c r="C2" s="178"/>
      <c r="D2" s="178"/>
      <c r="E2" s="179"/>
      <c r="F2" s="2"/>
      <c r="G2" s="3"/>
      <c r="H2" s="3"/>
      <c r="I2" s="3"/>
      <c r="J2" s="3"/>
      <c r="K2" s="3"/>
      <c r="L2" s="3"/>
      <c r="M2" s="3"/>
      <c r="N2" s="3"/>
      <c r="O2" s="3"/>
      <c r="P2" s="3"/>
      <c r="Q2" s="3"/>
      <c r="R2" s="3"/>
    </row>
    <row r="3" spans="2:28" ht="21.75" customHeight="1" x14ac:dyDescent="0.35">
      <c r="B3" s="180" t="s">
        <v>121</v>
      </c>
      <c r="C3" s="181"/>
      <c r="D3" s="181"/>
      <c r="E3" s="182"/>
      <c r="F3" s="2"/>
      <c r="G3" s="3"/>
      <c r="H3" s="3"/>
      <c r="I3" s="3"/>
      <c r="J3" s="3"/>
      <c r="K3" s="3"/>
      <c r="L3" s="3"/>
      <c r="M3" s="3"/>
      <c r="N3" s="3"/>
      <c r="O3" s="3"/>
      <c r="P3" s="3"/>
      <c r="Q3" s="3"/>
      <c r="R3" s="3"/>
    </row>
    <row r="4" spans="2:28" ht="19.5" customHeight="1" x14ac:dyDescent="0.35">
      <c r="B4" s="183"/>
      <c r="C4" s="184"/>
      <c r="D4" s="184"/>
      <c r="E4" s="185"/>
      <c r="F4" s="2"/>
      <c r="G4" s="3"/>
      <c r="H4" s="3"/>
      <c r="I4" s="3"/>
      <c r="J4" s="3"/>
      <c r="K4" s="3"/>
      <c r="L4" s="3"/>
      <c r="M4" s="3"/>
      <c r="N4" s="3"/>
      <c r="O4" s="3"/>
      <c r="P4" s="3"/>
      <c r="Q4" s="3"/>
      <c r="R4" s="3"/>
    </row>
    <row r="5" spans="2:28" ht="22.5" customHeight="1" x14ac:dyDescent="0.35">
      <c r="B5" s="183"/>
      <c r="C5" s="184"/>
      <c r="D5" s="184"/>
      <c r="E5" s="185"/>
      <c r="F5" s="2"/>
      <c r="G5" s="3"/>
      <c r="H5" s="3"/>
      <c r="I5" s="3"/>
      <c r="J5" s="3"/>
      <c r="K5" s="3"/>
      <c r="L5" s="3"/>
      <c r="M5" s="3"/>
      <c r="N5" s="3"/>
      <c r="O5" s="3"/>
      <c r="P5" s="3"/>
      <c r="Q5" s="3"/>
      <c r="R5" s="3"/>
    </row>
    <row r="6" spans="2:28" ht="14.25" customHeight="1" x14ac:dyDescent="0.35">
      <c r="B6" s="183"/>
      <c r="C6" s="184"/>
      <c r="D6" s="184"/>
      <c r="E6" s="185"/>
      <c r="F6" s="2"/>
      <c r="G6" s="3"/>
      <c r="H6" s="3"/>
      <c r="I6" s="3"/>
      <c r="J6" s="3"/>
      <c r="K6" s="3"/>
      <c r="L6" s="3"/>
      <c r="M6" s="3"/>
      <c r="N6" s="3"/>
      <c r="O6" s="3"/>
      <c r="P6" s="3"/>
      <c r="Q6" s="3"/>
      <c r="R6" s="3"/>
    </row>
    <row r="7" spans="2:28" ht="14.25" customHeight="1" x14ac:dyDescent="0.35">
      <c r="B7" s="183"/>
      <c r="C7" s="184"/>
      <c r="D7" s="184"/>
      <c r="E7" s="185"/>
      <c r="F7" s="2"/>
      <c r="G7" s="3"/>
      <c r="H7" s="3"/>
      <c r="I7" s="3"/>
      <c r="J7" s="3"/>
      <c r="K7" s="3"/>
      <c r="L7" s="3"/>
      <c r="M7" s="3"/>
      <c r="N7" s="3"/>
      <c r="O7" s="3"/>
      <c r="P7" s="3"/>
      <c r="Q7" s="3"/>
      <c r="R7" s="3"/>
    </row>
    <row r="8" spans="2:28" ht="14.25" customHeight="1" x14ac:dyDescent="0.35">
      <c r="B8" s="183"/>
      <c r="C8" s="184"/>
      <c r="D8" s="184"/>
      <c r="E8" s="185"/>
      <c r="F8" s="2"/>
      <c r="G8" s="3"/>
      <c r="H8" s="3"/>
      <c r="I8" s="3"/>
      <c r="J8" s="3"/>
      <c r="K8" s="3"/>
      <c r="L8" s="3"/>
      <c r="M8" s="3"/>
      <c r="N8" s="3"/>
      <c r="O8" s="3"/>
      <c r="P8" s="3"/>
      <c r="Q8" s="3"/>
      <c r="R8" s="3"/>
    </row>
    <row r="9" spans="2:28" ht="14.25" customHeight="1" x14ac:dyDescent="0.35">
      <c r="B9" s="183"/>
      <c r="C9" s="184"/>
      <c r="D9" s="184"/>
      <c r="E9" s="185"/>
      <c r="F9" s="2"/>
      <c r="G9" s="3"/>
    </row>
    <row r="10" spans="2:28" ht="14.25" customHeight="1" x14ac:dyDescent="0.35">
      <c r="B10" s="183"/>
      <c r="C10" s="184"/>
      <c r="D10" s="184"/>
      <c r="E10" s="185"/>
      <c r="F10" s="2"/>
      <c r="G10" s="3"/>
    </row>
    <row r="11" spans="2:28" ht="14.25" customHeight="1" x14ac:dyDescent="0.35">
      <c r="B11" s="183"/>
      <c r="C11" s="184"/>
      <c r="D11" s="184"/>
      <c r="E11" s="185"/>
      <c r="F11" s="2"/>
      <c r="G11" s="3"/>
    </row>
    <row r="12" spans="2:28" ht="14.25" customHeight="1" x14ac:dyDescent="0.35">
      <c r="B12" s="183"/>
      <c r="C12" s="184"/>
      <c r="D12" s="184"/>
      <c r="E12" s="185"/>
      <c r="F12" s="2"/>
      <c r="G12" s="3"/>
    </row>
    <row r="13" spans="2:28" ht="14.25" customHeight="1" x14ac:dyDescent="0.35">
      <c r="B13" s="183"/>
      <c r="C13" s="184"/>
      <c r="D13" s="184"/>
      <c r="E13" s="185"/>
      <c r="F13" s="2"/>
      <c r="G13" s="3"/>
    </row>
    <row r="14" spans="2:28" ht="14.25" customHeight="1" x14ac:dyDescent="0.35">
      <c r="B14" s="183"/>
      <c r="C14" s="184"/>
      <c r="D14" s="184"/>
      <c r="E14" s="185"/>
      <c r="F14" s="2"/>
      <c r="G14" s="3"/>
    </row>
    <row r="15" spans="2:28" ht="14.25" customHeight="1" thickBot="1" x14ac:dyDescent="0.4">
      <c r="B15" s="186"/>
      <c r="C15" s="187"/>
      <c r="D15" s="187"/>
      <c r="E15" s="188"/>
      <c r="F15" s="2"/>
      <c r="G15" s="3"/>
    </row>
    <row r="16" spans="2:28" ht="18.75" customHeight="1" thickBot="1" x14ac:dyDescent="0.4">
      <c r="E16" s="3"/>
      <c r="F16" s="3"/>
      <c r="G16" s="3"/>
      <c r="H16" s="3"/>
      <c r="I16" s="3"/>
      <c r="J16" s="3"/>
      <c r="K16" s="3"/>
      <c r="L16" s="3"/>
      <c r="M16" s="3"/>
      <c r="N16" s="3"/>
      <c r="O16" s="3"/>
      <c r="P16" s="3"/>
      <c r="Q16" s="3"/>
      <c r="R16" s="3"/>
      <c r="S16" s="3"/>
      <c r="T16" s="3"/>
      <c r="U16" s="3"/>
      <c r="V16" s="3"/>
      <c r="W16" s="3"/>
      <c r="X16" s="3"/>
      <c r="Y16" s="3"/>
      <c r="Z16" s="3"/>
      <c r="AA16" s="3"/>
      <c r="AB16" s="3"/>
    </row>
    <row r="17" spans="1:28" ht="15.5" x14ac:dyDescent="0.35">
      <c r="B17" s="130" t="s">
        <v>1</v>
      </c>
      <c r="C17" s="131"/>
      <c r="D17" s="132"/>
      <c r="E17" s="3"/>
      <c r="F17" s="3"/>
      <c r="G17" s="3"/>
      <c r="H17" s="3"/>
      <c r="I17" s="3"/>
      <c r="J17" s="3"/>
      <c r="K17" s="3"/>
      <c r="L17" s="3"/>
      <c r="M17" s="3"/>
      <c r="N17" s="3"/>
      <c r="O17" s="3"/>
      <c r="P17" s="3"/>
      <c r="Q17" s="3"/>
      <c r="R17" s="3"/>
      <c r="S17" s="3"/>
      <c r="T17" s="3"/>
      <c r="U17" s="3"/>
      <c r="V17" s="3"/>
      <c r="W17" s="3"/>
      <c r="X17" s="3"/>
      <c r="Y17" s="3"/>
      <c r="Z17" s="3"/>
      <c r="AA17" s="3"/>
      <c r="AB17" s="3"/>
    </row>
    <row r="18" spans="1:28" ht="24" customHeight="1" x14ac:dyDescent="0.35">
      <c r="B18" s="133" t="s">
        <v>2</v>
      </c>
      <c r="C18" s="134"/>
      <c r="D18" s="121" t="s">
        <v>106</v>
      </c>
      <c r="E18" s="3"/>
      <c r="F18" s="3"/>
      <c r="G18" s="3"/>
      <c r="H18" s="3"/>
      <c r="I18" s="3"/>
      <c r="J18" s="3"/>
      <c r="K18" s="3"/>
      <c r="L18" s="3"/>
      <c r="M18" s="3"/>
      <c r="N18" s="3"/>
      <c r="O18" s="3"/>
      <c r="P18" s="3"/>
      <c r="Q18" s="3"/>
      <c r="R18" s="3"/>
      <c r="S18" s="3"/>
      <c r="T18" s="3"/>
      <c r="U18" s="3"/>
      <c r="V18" s="3"/>
      <c r="W18" s="3"/>
      <c r="X18" s="3"/>
      <c r="Y18" s="3"/>
      <c r="Z18" s="3"/>
      <c r="AA18" s="3"/>
      <c r="AB18" s="3"/>
    </row>
    <row r="19" spans="1:28" ht="24" customHeight="1" x14ac:dyDescent="0.35">
      <c r="B19" s="133" t="s">
        <v>3</v>
      </c>
      <c r="C19" s="134"/>
      <c r="D19" s="122">
        <v>100</v>
      </c>
      <c r="E19" s="3"/>
      <c r="F19" s="3"/>
      <c r="G19" s="3"/>
      <c r="H19" s="3"/>
      <c r="I19" s="3"/>
      <c r="J19" s="3"/>
      <c r="K19" s="3"/>
      <c r="L19" s="3"/>
      <c r="M19" s="3"/>
      <c r="N19" s="3"/>
      <c r="O19" s="3"/>
      <c r="P19" s="3"/>
      <c r="Q19" s="3"/>
      <c r="R19" s="3"/>
      <c r="S19" s="3"/>
      <c r="T19" s="3"/>
      <c r="U19" s="3"/>
      <c r="V19" s="3"/>
      <c r="W19" s="3"/>
      <c r="X19" s="3"/>
      <c r="Y19" s="3"/>
      <c r="Z19" s="3"/>
      <c r="AA19" s="3"/>
      <c r="AB19" s="3"/>
    </row>
    <row r="20" spans="1:28" ht="24" customHeight="1" x14ac:dyDescent="0.35">
      <c r="B20" s="133" t="s">
        <v>4</v>
      </c>
      <c r="C20" s="134"/>
      <c r="D20" s="123">
        <v>7.2499999999999995E-2</v>
      </c>
      <c r="E20" s="3"/>
      <c r="F20" s="3"/>
      <c r="G20" s="3"/>
      <c r="H20" s="3"/>
      <c r="I20" s="3"/>
      <c r="J20" s="3"/>
      <c r="K20" s="3"/>
      <c r="L20" s="3"/>
      <c r="M20" s="3"/>
      <c r="N20" s="3"/>
      <c r="O20" s="3"/>
      <c r="P20" s="3"/>
      <c r="Q20" s="3"/>
      <c r="R20" s="3"/>
      <c r="S20" s="3"/>
      <c r="T20" s="3"/>
      <c r="U20" s="3"/>
      <c r="V20" s="3"/>
      <c r="W20" s="3"/>
      <c r="X20" s="3"/>
      <c r="Y20" s="3"/>
      <c r="Z20" s="3"/>
      <c r="AA20" s="3"/>
      <c r="AB20" s="3"/>
    </row>
    <row r="21" spans="1:28" ht="24" customHeight="1" x14ac:dyDescent="0.35">
      <c r="B21" s="133" t="s">
        <v>5</v>
      </c>
      <c r="C21" s="134"/>
      <c r="D21" s="121"/>
      <c r="E21" s="3"/>
      <c r="F21" s="3"/>
      <c r="G21" s="3"/>
      <c r="H21" s="3"/>
      <c r="I21" s="3"/>
      <c r="J21" s="3"/>
      <c r="K21" s="3"/>
      <c r="L21" s="3"/>
      <c r="M21" s="3"/>
      <c r="N21" s="3"/>
      <c r="O21" s="3"/>
      <c r="P21" s="3"/>
      <c r="Q21" s="3"/>
      <c r="R21" s="3"/>
      <c r="S21" s="3"/>
      <c r="T21" s="3"/>
      <c r="U21" s="3"/>
      <c r="V21" s="3"/>
      <c r="W21" s="3"/>
      <c r="X21" s="3"/>
      <c r="Y21" s="3"/>
      <c r="Z21" s="3"/>
      <c r="AA21" s="3"/>
      <c r="AB21" s="3"/>
    </row>
    <row r="22" spans="1:28" ht="24" customHeight="1" x14ac:dyDescent="0.35">
      <c r="B22" s="135" t="s">
        <v>6</v>
      </c>
      <c r="C22" s="134"/>
      <c r="D22" s="124"/>
      <c r="E22" s="3"/>
      <c r="F22" s="3"/>
      <c r="G22" s="3"/>
      <c r="H22" s="3"/>
      <c r="I22" s="3"/>
      <c r="J22" s="3"/>
      <c r="K22" s="3"/>
      <c r="L22" s="3"/>
      <c r="M22" s="3"/>
      <c r="N22" s="3"/>
      <c r="O22" s="3"/>
      <c r="P22" s="3"/>
      <c r="Q22" s="3"/>
      <c r="R22" s="3"/>
      <c r="S22" s="3"/>
      <c r="T22" s="3"/>
      <c r="U22" s="3"/>
      <c r="V22" s="3"/>
      <c r="W22" s="3"/>
      <c r="X22" s="3"/>
      <c r="Y22" s="3"/>
      <c r="Z22" s="3"/>
      <c r="AA22" s="3"/>
      <c r="AB22" s="3"/>
    </row>
    <row r="23" spans="1:28" ht="24" customHeight="1" thickBot="1" x14ac:dyDescent="0.4">
      <c r="B23" s="128" t="s">
        <v>7</v>
      </c>
      <c r="C23" s="129"/>
      <c r="D23" s="125">
        <v>2026</v>
      </c>
      <c r="E23" s="3"/>
      <c r="F23" s="3"/>
      <c r="G23" s="3"/>
      <c r="H23" s="3"/>
      <c r="I23" s="3"/>
      <c r="J23" s="3"/>
      <c r="K23" s="3"/>
      <c r="L23" s="3"/>
      <c r="M23" s="3"/>
      <c r="N23" s="3"/>
      <c r="O23" s="3"/>
      <c r="P23" s="3"/>
      <c r="Q23" s="3"/>
      <c r="R23" s="3"/>
      <c r="S23" s="3"/>
      <c r="T23" s="3"/>
      <c r="U23" s="3"/>
      <c r="V23" s="3"/>
      <c r="W23" s="3"/>
      <c r="X23" s="3"/>
      <c r="Y23" s="3"/>
      <c r="Z23" s="3"/>
      <c r="AA23" s="3"/>
      <c r="AB23" s="3"/>
    </row>
    <row r="24" spans="1:28" ht="14.25" customHeight="1" x14ac:dyDescent="0.35">
      <c r="E24" s="3"/>
      <c r="F24" s="3"/>
      <c r="G24" s="3"/>
      <c r="H24" s="3"/>
      <c r="I24" s="3"/>
      <c r="J24" s="3"/>
      <c r="K24" s="3"/>
      <c r="L24" s="3"/>
      <c r="M24" s="3"/>
      <c r="N24" s="3"/>
      <c r="O24" s="3"/>
      <c r="P24" s="3"/>
      <c r="Q24" s="3"/>
      <c r="R24" s="3"/>
      <c r="S24" s="3"/>
      <c r="T24" s="3"/>
      <c r="U24" s="3"/>
      <c r="V24" s="3"/>
      <c r="W24" s="3"/>
      <c r="X24" s="3"/>
      <c r="Y24" s="3"/>
      <c r="Z24" s="3"/>
      <c r="AA24" s="3"/>
      <c r="AB24" s="3"/>
    </row>
    <row r="25" spans="1:28" ht="24" thickBot="1" x14ac:dyDescent="0.6">
      <c r="B25" s="4" t="s">
        <v>8</v>
      </c>
      <c r="C25" s="5"/>
      <c r="D25" s="5"/>
      <c r="E25" s="5"/>
      <c r="F25" s="5"/>
      <c r="G25" s="5"/>
      <c r="H25" s="5"/>
      <c r="I25" s="5"/>
      <c r="J25" s="5"/>
      <c r="K25" s="5"/>
      <c r="L25" s="5"/>
      <c r="M25" s="5"/>
      <c r="N25" s="5"/>
      <c r="O25" s="5"/>
      <c r="P25" s="5"/>
      <c r="Q25" s="5"/>
      <c r="R25" s="5"/>
      <c r="S25" s="5"/>
      <c r="T25" s="5"/>
      <c r="U25" s="5"/>
      <c r="V25" s="5"/>
      <c r="W25" s="5"/>
      <c r="X25" s="5"/>
      <c r="Y25" s="5"/>
      <c r="Z25" s="5"/>
    </row>
    <row r="26" spans="1:28" s="18" customFormat="1" ht="16" thickBot="1" x14ac:dyDescent="0.4">
      <c r="A26" s="1"/>
      <c r="F26" s="19"/>
      <c r="G26" s="20"/>
    </row>
    <row r="27" spans="1:28" s="18" customFormat="1" ht="15.5" x14ac:dyDescent="0.35">
      <c r="A27" s="1"/>
      <c r="B27" s="48"/>
      <c r="C27" s="49"/>
      <c r="D27" s="49"/>
      <c r="E27" s="49"/>
      <c r="F27" s="189">
        <f>D23</f>
        <v>2026</v>
      </c>
      <c r="G27" s="190"/>
      <c r="H27" s="191"/>
      <c r="I27" s="51" t="s">
        <v>10</v>
      </c>
      <c r="J27" s="51" t="s">
        <v>11</v>
      </c>
      <c r="K27" s="51" t="s">
        <v>12</v>
      </c>
      <c r="L27" s="51" t="s">
        <v>13</v>
      </c>
      <c r="M27" s="51" t="s">
        <v>14</v>
      </c>
      <c r="N27" s="51" t="s">
        <v>15</v>
      </c>
      <c r="O27" s="51" t="s">
        <v>16</v>
      </c>
      <c r="P27" s="51" t="s">
        <v>17</v>
      </c>
      <c r="Q27" s="51" t="s">
        <v>18</v>
      </c>
      <c r="R27" s="51" t="s">
        <v>19</v>
      </c>
      <c r="S27" s="51" t="s">
        <v>20</v>
      </c>
      <c r="T27" s="52" t="s">
        <v>21</v>
      </c>
    </row>
    <row r="28" spans="1:28" s="18" customFormat="1" ht="15.5" x14ac:dyDescent="0.35">
      <c r="A28" s="1"/>
      <c r="B28" s="53" t="s">
        <v>22</v>
      </c>
      <c r="C28" s="54"/>
      <c r="D28" s="54"/>
      <c r="E28" s="54"/>
      <c r="F28" s="197">
        <f>SUM(I28:T28)</f>
        <v>1200000</v>
      </c>
      <c r="G28" s="198"/>
      <c r="H28" s="199"/>
      <c r="I28" s="67">
        <v>100000</v>
      </c>
      <c r="J28" s="67">
        <v>100000</v>
      </c>
      <c r="K28" s="67">
        <v>100000</v>
      </c>
      <c r="L28" s="67">
        <v>100000</v>
      </c>
      <c r="M28" s="67">
        <v>100000</v>
      </c>
      <c r="N28" s="67">
        <v>100000</v>
      </c>
      <c r="O28" s="67">
        <v>100000</v>
      </c>
      <c r="P28" s="67">
        <v>100000</v>
      </c>
      <c r="Q28" s="67">
        <v>100000</v>
      </c>
      <c r="R28" s="67">
        <v>100000</v>
      </c>
      <c r="S28" s="67">
        <v>100000</v>
      </c>
      <c r="T28" s="68">
        <v>100000</v>
      </c>
    </row>
    <row r="29" spans="1:28" s="18" customFormat="1" ht="15.5" x14ac:dyDescent="0.35">
      <c r="A29" s="1"/>
      <c r="B29" s="53" t="s">
        <v>23</v>
      </c>
      <c r="C29" s="54"/>
      <c r="D29" s="54"/>
      <c r="E29" s="54"/>
      <c r="F29" s="194">
        <v>0.04</v>
      </c>
      <c r="G29" s="195"/>
      <c r="H29" s="196"/>
      <c r="I29" s="17">
        <f t="shared" ref="I29:T29" si="0">$F$29</f>
        <v>0.04</v>
      </c>
      <c r="J29" s="17">
        <f t="shared" si="0"/>
        <v>0.04</v>
      </c>
      <c r="K29" s="17">
        <f t="shared" si="0"/>
        <v>0.04</v>
      </c>
      <c r="L29" s="17">
        <f t="shared" si="0"/>
        <v>0.04</v>
      </c>
      <c r="M29" s="17">
        <f t="shared" si="0"/>
        <v>0.04</v>
      </c>
      <c r="N29" s="17">
        <f t="shared" si="0"/>
        <v>0.04</v>
      </c>
      <c r="O29" s="17">
        <f t="shared" si="0"/>
        <v>0.04</v>
      </c>
      <c r="P29" s="17">
        <f t="shared" si="0"/>
        <v>0.04</v>
      </c>
      <c r="Q29" s="17">
        <f t="shared" si="0"/>
        <v>0.04</v>
      </c>
      <c r="R29" s="17">
        <f t="shared" si="0"/>
        <v>0.04</v>
      </c>
      <c r="S29" s="17">
        <f t="shared" si="0"/>
        <v>0.04</v>
      </c>
      <c r="T29" s="55">
        <f t="shared" si="0"/>
        <v>0.04</v>
      </c>
    </row>
    <row r="30" spans="1:28" s="18" customFormat="1" ht="15.5" x14ac:dyDescent="0.35">
      <c r="A30" s="1"/>
      <c r="B30" s="53" t="s">
        <v>24</v>
      </c>
      <c r="C30" s="54"/>
      <c r="D30" s="54"/>
      <c r="E30" s="54"/>
      <c r="F30" s="197">
        <f>F28*F29</f>
        <v>48000</v>
      </c>
      <c r="G30" s="198"/>
      <c r="H30" s="199"/>
      <c r="I30" s="66">
        <f t="shared" ref="I30:T30" si="1">I28*I29</f>
        <v>4000</v>
      </c>
      <c r="J30" s="66">
        <f t="shared" si="1"/>
        <v>4000</v>
      </c>
      <c r="K30" s="66">
        <f t="shared" si="1"/>
        <v>4000</v>
      </c>
      <c r="L30" s="66">
        <f t="shared" si="1"/>
        <v>4000</v>
      </c>
      <c r="M30" s="66">
        <f t="shared" si="1"/>
        <v>4000</v>
      </c>
      <c r="N30" s="66">
        <f t="shared" si="1"/>
        <v>4000</v>
      </c>
      <c r="O30" s="66">
        <f t="shared" si="1"/>
        <v>4000</v>
      </c>
      <c r="P30" s="66">
        <f t="shared" si="1"/>
        <v>4000</v>
      </c>
      <c r="Q30" s="66">
        <f t="shared" si="1"/>
        <v>4000</v>
      </c>
      <c r="R30" s="66">
        <f t="shared" si="1"/>
        <v>4000</v>
      </c>
      <c r="S30" s="66">
        <f t="shared" si="1"/>
        <v>4000</v>
      </c>
      <c r="T30" s="71">
        <f t="shared" si="1"/>
        <v>4000</v>
      </c>
    </row>
    <row r="31" spans="1:28" s="18" customFormat="1" ht="15.5" x14ac:dyDescent="0.35">
      <c r="A31" s="1"/>
      <c r="B31" s="53" t="s">
        <v>120</v>
      </c>
      <c r="C31" s="54"/>
      <c r="D31" s="54"/>
      <c r="E31" s="54"/>
      <c r="F31" s="197">
        <f>SUM(I31:T31)</f>
        <v>35125.640549999996</v>
      </c>
      <c r="G31" s="198"/>
      <c r="H31" s="199"/>
      <c r="I31" s="66">
        <f>N121</f>
        <v>35125.640549999996</v>
      </c>
      <c r="J31" s="66">
        <f t="shared" ref="J31:T31" si="2">O121</f>
        <v>0</v>
      </c>
      <c r="K31" s="66">
        <f t="shared" si="2"/>
        <v>0</v>
      </c>
      <c r="L31" s="66">
        <f t="shared" si="2"/>
        <v>0</v>
      </c>
      <c r="M31" s="66">
        <f t="shared" si="2"/>
        <v>0</v>
      </c>
      <c r="N31" s="66">
        <f t="shared" si="2"/>
        <v>0</v>
      </c>
      <c r="O31" s="66">
        <f t="shared" si="2"/>
        <v>0</v>
      </c>
      <c r="P31" s="66">
        <f t="shared" si="2"/>
        <v>0</v>
      </c>
      <c r="Q31" s="66">
        <f t="shared" si="2"/>
        <v>0</v>
      </c>
      <c r="R31" s="66">
        <f t="shared" si="2"/>
        <v>0</v>
      </c>
      <c r="S31" s="66">
        <f t="shared" si="2"/>
        <v>0</v>
      </c>
      <c r="T31" s="71">
        <f t="shared" si="2"/>
        <v>0</v>
      </c>
    </row>
    <row r="32" spans="1:28" s="18" customFormat="1" ht="16" thickBot="1" x14ac:dyDescent="0.4">
      <c r="A32" s="1"/>
      <c r="B32" s="56" t="s">
        <v>119</v>
      </c>
      <c r="C32" s="57"/>
      <c r="D32" s="57"/>
      <c r="E32" s="57"/>
      <c r="F32" s="200">
        <f>F31/F28</f>
        <v>2.9271367124999996E-2</v>
      </c>
      <c r="G32" s="201"/>
      <c r="H32" s="202"/>
      <c r="I32" s="64">
        <f>I31/I28</f>
        <v>0.35125640549999998</v>
      </c>
      <c r="J32" s="64">
        <f t="shared" ref="J32:T32" si="3">J31/J28</f>
        <v>0</v>
      </c>
      <c r="K32" s="64">
        <f t="shared" si="3"/>
        <v>0</v>
      </c>
      <c r="L32" s="64">
        <f t="shared" si="3"/>
        <v>0</v>
      </c>
      <c r="M32" s="64">
        <f t="shared" si="3"/>
        <v>0</v>
      </c>
      <c r="N32" s="64">
        <f t="shared" si="3"/>
        <v>0</v>
      </c>
      <c r="O32" s="64">
        <f t="shared" si="3"/>
        <v>0</v>
      </c>
      <c r="P32" s="64">
        <f t="shared" si="3"/>
        <v>0</v>
      </c>
      <c r="Q32" s="64">
        <f t="shared" si="3"/>
        <v>0</v>
      </c>
      <c r="R32" s="64">
        <f t="shared" si="3"/>
        <v>0</v>
      </c>
      <c r="S32" s="64">
        <f t="shared" si="3"/>
        <v>0</v>
      </c>
      <c r="T32" s="72">
        <f t="shared" si="3"/>
        <v>0</v>
      </c>
    </row>
    <row r="33" spans="1:26" s="18" customFormat="1" ht="12.75" customHeight="1" x14ac:dyDescent="0.35">
      <c r="A33" s="1"/>
      <c r="F33" s="19"/>
      <c r="G33" s="20"/>
    </row>
    <row r="34" spans="1:26" s="18" customFormat="1" ht="19" thickBot="1" x14ac:dyDescent="0.5">
      <c r="A34" s="1"/>
      <c r="B34" s="29" t="str">
        <f>D23&amp;" "&amp;  D18 &amp; " " &amp; "Capital Plan"</f>
        <v>2026 Hotel Capital Plan</v>
      </c>
      <c r="C34" s="21"/>
      <c r="D34" s="21"/>
      <c r="E34" s="21"/>
      <c r="F34" s="22"/>
      <c r="G34" s="23"/>
      <c r="H34" s="21"/>
      <c r="I34" s="21"/>
      <c r="J34" s="21"/>
      <c r="K34" s="21"/>
      <c r="L34" s="21"/>
      <c r="M34" s="21"/>
      <c r="N34" s="21"/>
      <c r="O34" s="21"/>
      <c r="P34" s="21"/>
      <c r="Q34" s="21"/>
      <c r="R34" s="21"/>
      <c r="S34" s="21"/>
      <c r="T34" s="21"/>
      <c r="U34" s="21"/>
      <c r="V34" s="21"/>
      <c r="W34" s="21"/>
      <c r="X34" s="21"/>
      <c r="Y34" s="21"/>
    </row>
    <row r="35" spans="1:26" s="18" customFormat="1" ht="14.25" customHeight="1" thickBot="1" x14ac:dyDescent="0.4">
      <c r="A35" s="1"/>
      <c r="F35" s="19"/>
      <c r="G35" s="20"/>
    </row>
    <row r="36" spans="1:26" s="18" customFormat="1" ht="42" customHeight="1" x14ac:dyDescent="0.35">
      <c r="A36" s="1"/>
      <c r="B36" s="139" t="s">
        <v>25</v>
      </c>
      <c r="C36" s="192"/>
      <c r="D36" s="91" t="s">
        <v>26</v>
      </c>
      <c r="E36" s="92" t="s">
        <v>112</v>
      </c>
      <c r="F36" s="93" t="s">
        <v>27</v>
      </c>
      <c r="G36" s="94" t="s">
        <v>28</v>
      </c>
      <c r="H36" s="94" t="s">
        <v>29</v>
      </c>
      <c r="I36" s="94" t="s">
        <v>30</v>
      </c>
      <c r="J36" s="94" t="s">
        <v>31</v>
      </c>
      <c r="K36" s="94" t="s">
        <v>32</v>
      </c>
      <c r="L36" s="94" t="s">
        <v>33</v>
      </c>
      <c r="M36" s="94" t="s">
        <v>34</v>
      </c>
      <c r="N36" s="94" t="s">
        <v>10</v>
      </c>
      <c r="O36" s="94" t="s">
        <v>11</v>
      </c>
      <c r="P36" s="94" t="s">
        <v>12</v>
      </c>
      <c r="Q36" s="94" t="s">
        <v>13</v>
      </c>
      <c r="R36" s="94" t="s">
        <v>14</v>
      </c>
      <c r="S36" s="94" t="s">
        <v>15</v>
      </c>
      <c r="T36" s="94" t="s">
        <v>16</v>
      </c>
      <c r="U36" s="94" t="s">
        <v>17</v>
      </c>
      <c r="V36" s="94" t="s">
        <v>18</v>
      </c>
      <c r="W36" s="94" t="s">
        <v>19</v>
      </c>
      <c r="X36" s="94" t="s">
        <v>20</v>
      </c>
      <c r="Y36" s="95" t="s">
        <v>21</v>
      </c>
      <c r="Z36" s="24"/>
    </row>
    <row r="37" spans="1:26" s="18" customFormat="1" ht="15.5" x14ac:dyDescent="0.35">
      <c r="A37" s="1"/>
      <c r="B37" s="193" t="s">
        <v>35</v>
      </c>
      <c r="C37" s="137"/>
      <c r="D37" s="138"/>
      <c r="E37" s="6"/>
      <c r="F37" s="7"/>
      <c r="G37" s="8"/>
      <c r="H37" s="8">
        <f t="shared" ref="H37:Y37" si="4">SUM(H38:H49)</f>
        <v>1</v>
      </c>
      <c r="I37" s="8">
        <f t="shared" si="4"/>
        <v>12151</v>
      </c>
      <c r="J37" s="8">
        <f t="shared" si="4"/>
        <v>880.94749999999999</v>
      </c>
      <c r="K37" s="8">
        <f t="shared" si="4"/>
        <v>651.59737500000006</v>
      </c>
      <c r="L37" s="8">
        <f t="shared" si="4"/>
        <v>13683.544875</v>
      </c>
      <c r="M37" s="8">
        <f t="shared" si="4"/>
        <v>13683.544875</v>
      </c>
      <c r="N37" s="8">
        <f t="shared" si="4"/>
        <v>13683.544875</v>
      </c>
      <c r="O37" s="8">
        <f t="shared" si="4"/>
        <v>0</v>
      </c>
      <c r="P37" s="8">
        <f t="shared" si="4"/>
        <v>0</v>
      </c>
      <c r="Q37" s="8">
        <f t="shared" si="4"/>
        <v>0</v>
      </c>
      <c r="R37" s="8">
        <f t="shared" si="4"/>
        <v>0</v>
      </c>
      <c r="S37" s="8">
        <f t="shared" si="4"/>
        <v>0</v>
      </c>
      <c r="T37" s="8">
        <f t="shared" si="4"/>
        <v>0</v>
      </c>
      <c r="U37" s="8">
        <f t="shared" si="4"/>
        <v>0</v>
      </c>
      <c r="V37" s="8">
        <f t="shared" si="4"/>
        <v>0</v>
      </c>
      <c r="W37" s="8">
        <f t="shared" si="4"/>
        <v>0</v>
      </c>
      <c r="X37" s="8">
        <f t="shared" si="4"/>
        <v>0</v>
      </c>
      <c r="Y37" s="96">
        <f t="shared" si="4"/>
        <v>0</v>
      </c>
    </row>
    <row r="38" spans="1:26" s="18" customFormat="1" ht="14.25" customHeight="1" x14ac:dyDescent="0.35">
      <c r="A38" s="1"/>
      <c r="B38" s="97" t="s">
        <v>36</v>
      </c>
      <c r="C38" s="9" t="s">
        <v>101</v>
      </c>
      <c r="D38" s="9" t="s">
        <v>102</v>
      </c>
      <c r="E38" s="9" t="s">
        <v>108</v>
      </c>
      <c r="F38" s="10">
        <v>18</v>
      </c>
      <c r="G38" s="11">
        <v>675</v>
      </c>
      <c r="H38" s="11">
        <v>1</v>
      </c>
      <c r="I38" s="12">
        <f t="shared" ref="I38:I49" si="5">(F38*G38)+H38</f>
        <v>12151</v>
      </c>
      <c r="J38" s="12">
        <f t="shared" ref="J38:J49" si="6">I38*$D$20</f>
        <v>880.94749999999999</v>
      </c>
      <c r="K38" s="12">
        <f t="shared" ref="K38:K49" si="7">SUM(I38:J38)*5%</f>
        <v>651.59737500000006</v>
      </c>
      <c r="L38" s="12">
        <f t="shared" ref="L38:L49" si="8">SUM(I38:K38)</f>
        <v>13683.544875</v>
      </c>
      <c r="M38" s="12">
        <f t="shared" ref="M38:M49" si="9">SUM(N38, O38,P38,Q38,R38,S38,T38,U38,V38,W38,X38,Y38)</f>
        <v>13683.544875</v>
      </c>
      <c r="N38" s="59">
        <f>L38</f>
        <v>13683.544875</v>
      </c>
      <c r="O38" s="59"/>
      <c r="P38" s="59"/>
      <c r="Q38" s="59"/>
      <c r="R38" s="59"/>
      <c r="S38" s="59"/>
      <c r="T38" s="59"/>
      <c r="U38" s="59"/>
      <c r="V38" s="59"/>
      <c r="W38" s="59"/>
      <c r="X38" s="59"/>
      <c r="Y38" s="98"/>
    </row>
    <row r="39" spans="1:26" s="18" customFormat="1" ht="14.25" customHeight="1" x14ac:dyDescent="0.35">
      <c r="A39" s="1"/>
      <c r="B39" s="97" t="s">
        <v>37</v>
      </c>
      <c r="C39" s="9"/>
      <c r="D39" s="9"/>
      <c r="E39" s="9"/>
      <c r="F39" s="10"/>
      <c r="G39" s="11"/>
      <c r="H39" s="11"/>
      <c r="I39" s="12">
        <f t="shared" si="5"/>
        <v>0</v>
      </c>
      <c r="J39" s="12">
        <f t="shared" si="6"/>
        <v>0</v>
      </c>
      <c r="K39" s="12">
        <f t="shared" si="7"/>
        <v>0</v>
      </c>
      <c r="L39" s="12">
        <f t="shared" si="8"/>
        <v>0</v>
      </c>
      <c r="M39" s="12">
        <f t="shared" si="9"/>
        <v>0</v>
      </c>
      <c r="N39" s="59"/>
      <c r="O39" s="59"/>
      <c r="P39" s="59"/>
      <c r="Q39" s="59"/>
      <c r="R39" s="59"/>
      <c r="S39" s="59"/>
      <c r="T39" s="59"/>
      <c r="U39" s="59"/>
      <c r="V39" s="59"/>
      <c r="W39" s="59"/>
      <c r="X39" s="59"/>
      <c r="Y39" s="98"/>
    </row>
    <row r="40" spans="1:26" s="18" customFormat="1" ht="14.25" customHeight="1" x14ac:dyDescent="0.35">
      <c r="A40" s="1"/>
      <c r="B40" s="97" t="s">
        <v>38</v>
      </c>
      <c r="C40" s="9"/>
      <c r="D40" s="9"/>
      <c r="E40" s="9"/>
      <c r="F40" s="10"/>
      <c r="G40" s="11"/>
      <c r="H40" s="11"/>
      <c r="I40" s="12">
        <f t="shared" si="5"/>
        <v>0</v>
      </c>
      <c r="J40" s="12">
        <f t="shared" si="6"/>
        <v>0</v>
      </c>
      <c r="K40" s="12">
        <f t="shared" si="7"/>
        <v>0</v>
      </c>
      <c r="L40" s="12">
        <f t="shared" si="8"/>
        <v>0</v>
      </c>
      <c r="M40" s="12">
        <f t="shared" si="9"/>
        <v>0</v>
      </c>
      <c r="N40" s="59"/>
      <c r="O40" s="59"/>
      <c r="P40" s="59"/>
      <c r="Q40" s="59"/>
      <c r="R40" s="59"/>
      <c r="S40" s="59"/>
      <c r="T40" s="59"/>
      <c r="U40" s="59"/>
      <c r="V40" s="59"/>
      <c r="W40" s="59"/>
      <c r="X40" s="59"/>
      <c r="Y40" s="98"/>
    </row>
    <row r="41" spans="1:26" s="18" customFormat="1" ht="14.25" customHeight="1" x14ac:dyDescent="0.35">
      <c r="A41" s="1"/>
      <c r="B41" s="97" t="s">
        <v>39</v>
      </c>
      <c r="C41" s="9"/>
      <c r="D41" s="9"/>
      <c r="E41" s="9"/>
      <c r="F41" s="10"/>
      <c r="G41" s="11"/>
      <c r="H41" s="11"/>
      <c r="I41" s="12">
        <f t="shared" si="5"/>
        <v>0</v>
      </c>
      <c r="J41" s="12">
        <f t="shared" si="6"/>
        <v>0</v>
      </c>
      <c r="K41" s="12">
        <f t="shared" si="7"/>
        <v>0</v>
      </c>
      <c r="L41" s="12">
        <f t="shared" si="8"/>
        <v>0</v>
      </c>
      <c r="M41" s="12">
        <f t="shared" si="9"/>
        <v>0</v>
      </c>
      <c r="N41" s="59"/>
      <c r="O41" s="59"/>
      <c r="P41" s="59"/>
      <c r="Q41" s="59"/>
      <c r="R41" s="59"/>
      <c r="S41" s="59"/>
      <c r="T41" s="59"/>
      <c r="U41" s="59"/>
      <c r="V41" s="59"/>
      <c r="W41" s="59"/>
      <c r="X41" s="59"/>
      <c r="Y41" s="98"/>
    </row>
    <row r="42" spans="1:26" s="18" customFormat="1" ht="14.25" customHeight="1" x14ac:dyDescent="0.35">
      <c r="A42" s="1"/>
      <c r="B42" s="97" t="s">
        <v>40</v>
      </c>
      <c r="C42" s="9"/>
      <c r="D42" s="9"/>
      <c r="E42" s="9"/>
      <c r="F42" s="10"/>
      <c r="G42" s="11"/>
      <c r="H42" s="11"/>
      <c r="I42" s="12">
        <f t="shared" si="5"/>
        <v>0</v>
      </c>
      <c r="J42" s="12">
        <f t="shared" si="6"/>
        <v>0</v>
      </c>
      <c r="K42" s="12">
        <f t="shared" si="7"/>
        <v>0</v>
      </c>
      <c r="L42" s="12">
        <f t="shared" si="8"/>
        <v>0</v>
      </c>
      <c r="M42" s="12">
        <f t="shared" si="9"/>
        <v>0</v>
      </c>
      <c r="N42" s="59"/>
      <c r="O42" s="59"/>
      <c r="P42" s="59"/>
      <c r="Q42" s="59"/>
      <c r="R42" s="59"/>
      <c r="S42" s="59"/>
      <c r="T42" s="59"/>
      <c r="U42" s="59"/>
      <c r="V42" s="59"/>
      <c r="W42" s="59"/>
      <c r="X42" s="59"/>
      <c r="Y42" s="98"/>
    </row>
    <row r="43" spans="1:26" s="18" customFormat="1" ht="14.25" customHeight="1" x14ac:dyDescent="0.35">
      <c r="A43" s="1"/>
      <c r="B43" s="97" t="s">
        <v>41</v>
      </c>
      <c r="C43" s="9"/>
      <c r="D43" s="9"/>
      <c r="E43" s="9"/>
      <c r="F43" s="10"/>
      <c r="G43" s="11"/>
      <c r="H43" s="11"/>
      <c r="I43" s="12">
        <f t="shared" si="5"/>
        <v>0</v>
      </c>
      <c r="J43" s="12">
        <f t="shared" si="6"/>
        <v>0</v>
      </c>
      <c r="K43" s="12">
        <f t="shared" si="7"/>
        <v>0</v>
      </c>
      <c r="L43" s="12">
        <f t="shared" si="8"/>
        <v>0</v>
      </c>
      <c r="M43" s="12">
        <f t="shared" si="9"/>
        <v>0</v>
      </c>
      <c r="N43" s="59"/>
      <c r="O43" s="59"/>
      <c r="P43" s="59"/>
      <c r="Q43" s="59"/>
      <c r="R43" s="59"/>
      <c r="S43" s="59"/>
      <c r="T43" s="59"/>
      <c r="U43" s="59"/>
      <c r="V43" s="59"/>
      <c r="W43" s="59"/>
      <c r="X43" s="59"/>
      <c r="Y43" s="98"/>
    </row>
    <row r="44" spans="1:26" s="18" customFormat="1" ht="14.25" customHeight="1" x14ac:dyDescent="0.35">
      <c r="A44" s="1"/>
      <c r="B44" s="97" t="s">
        <v>42</v>
      </c>
      <c r="C44" s="9"/>
      <c r="D44" s="9"/>
      <c r="E44" s="9"/>
      <c r="F44" s="10"/>
      <c r="G44" s="11"/>
      <c r="H44" s="11"/>
      <c r="I44" s="12">
        <f t="shared" ref="I44:I45" si="10">(F44*G44)+H44</f>
        <v>0</v>
      </c>
      <c r="J44" s="12">
        <f t="shared" ref="J44:J45" si="11">I44*$D$20</f>
        <v>0</v>
      </c>
      <c r="K44" s="12">
        <f t="shared" ref="K44:K45" si="12">SUM(I44:J44)*5%</f>
        <v>0</v>
      </c>
      <c r="L44" s="12">
        <f t="shared" ref="L44:L45" si="13">SUM(I44:K44)</f>
        <v>0</v>
      </c>
      <c r="M44" s="12">
        <f t="shared" ref="M44:M45" si="14">SUM(N44, O44,P44,Q44,R44,S44,T44,U44,V44,W44,X44,Y44)</f>
        <v>0</v>
      </c>
      <c r="N44" s="59"/>
      <c r="O44" s="59"/>
      <c r="P44" s="59"/>
      <c r="Q44" s="59"/>
      <c r="R44" s="59"/>
      <c r="S44" s="59"/>
      <c r="T44" s="59"/>
      <c r="U44" s="59"/>
      <c r="V44" s="59"/>
      <c r="W44" s="59"/>
      <c r="X44" s="59"/>
      <c r="Y44" s="98"/>
    </row>
    <row r="45" spans="1:26" s="18" customFormat="1" ht="14.25" customHeight="1" x14ac:dyDescent="0.35">
      <c r="A45" s="1"/>
      <c r="B45" s="97" t="s">
        <v>43</v>
      </c>
      <c r="C45" s="9"/>
      <c r="D45" s="9"/>
      <c r="E45" s="9"/>
      <c r="F45" s="10"/>
      <c r="G45" s="11"/>
      <c r="H45" s="11"/>
      <c r="I45" s="12">
        <f t="shared" si="10"/>
        <v>0</v>
      </c>
      <c r="J45" s="12">
        <f t="shared" si="11"/>
        <v>0</v>
      </c>
      <c r="K45" s="12">
        <f t="shared" si="12"/>
        <v>0</v>
      </c>
      <c r="L45" s="12">
        <f t="shared" si="13"/>
        <v>0</v>
      </c>
      <c r="M45" s="12">
        <f t="shared" si="14"/>
        <v>0</v>
      </c>
      <c r="N45" s="59"/>
      <c r="O45" s="59"/>
      <c r="P45" s="59"/>
      <c r="Q45" s="59"/>
      <c r="R45" s="59"/>
      <c r="S45" s="59"/>
      <c r="T45" s="59"/>
      <c r="U45" s="59"/>
      <c r="V45" s="59"/>
      <c r="W45" s="59"/>
      <c r="X45" s="59"/>
      <c r="Y45" s="98"/>
    </row>
    <row r="46" spans="1:26" s="18" customFormat="1" ht="14.25" customHeight="1" x14ac:dyDescent="0.35">
      <c r="A46" s="1"/>
      <c r="B46" s="97" t="s">
        <v>44</v>
      </c>
      <c r="C46" s="9"/>
      <c r="D46" s="9"/>
      <c r="E46" s="9"/>
      <c r="F46" s="10"/>
      <c r="G46" s="11"/>
      <c r="H46" s="11"/>
      <c r="I46" s="12">
        <f t="shared" si="5"/>
        <v>0</v>
      </c>
      <c r="J46" s="12">
        <f t="shared" si="6"/>
        <v>0</v>
      </c>
      <c r="K46" s="12">
        <f t="shared" si="7"/>
        <v>0</v>
      </c>
      <c r="L46" s="12">
        <f t="shared" si="8"/>
        <v>0</v>
      </c>
      <c r="M46" s="12">
        <f t="shared" si="9"/>
        <v>0</v>
      </c>
      <c r="N46" s="59"/>
      <c r="O46" s="59"/>
      <c r="P46" s="59"/>
      <c r="Q46" s="59"/>
      <c r="R46" s="59"/>
      <c r="S46" s="59"/>
      <c r="T46" s="59"/>
      <c r="U46" s="59"/>
      <c r="V46" s="59"/>
      <c r="W46" s="59"/>
      <c r="X46" s="59"/>
      <c r="Y46" s="98"/>
    </row>
    <row r="47" spans="1:26" s="18" customFormat="1" ht="14.25" customHeight="1" x14ac:dyDescent="0.35">
      <c r="A47" s="1"/>
      <c r="B47" s="97" t="s">
        <v>45</v>
      </c>
      <c r="C47" s="9"/>
      <c r="D47" s="9"/>
      <c r="E47" s="9"/>
      <c r="F47" s="10"/>
      <c r="G47" s="11"/>
      <c r="H47" s="11"/>
      <c r="I47" s="12">
        <f t="shared" si="5"/>
        <v>0</v>
      </c>
      <c r="J47" s="12">
        <f t="shared" si="6"/>
        <v>0</v>
      </c>
      <c r="K47" s="12">
        <f t="shared" si="7"/>
        <v>0</v>
      </c>
      <c r="L47" s="12">
        <f t="shared" si="8"/>
        <v>0</v>
      </c>
      <c r="M47" s="12">
        <f t="shared" si="9"/>
        <v>0</v>
      </c>
      <c r="N47" s="59"/>
      <c r="O47" s="59"/>
      <c r="P47" s="59"/>
      <c r="Q47" s="59"/>
      <c r="R47" s="59"/>
      <c r="S47" s="59"/>
      <c r="T47" s="59"/>
      <c r="U47" s="59"/>
      <c r="V47" s="59"/>
      <c r="W47" s="59"/>
      <c r="X47" s="59"/>
      <c r="Y47" s="98"/>
    </row>
    <row r="48" spans="1:26" s="18" customFormat="1" ht="14.25" customHeight="1" x14ac:dyDescent="0.35">
      <c r="A48" s="1"/>
      <c r="B48" s="97" t="s">
        <v>122</v>
      </c>
      <c r="C48" s="9"/>
      <c r="D48" s="9"/>
      <c r="E48" s="9"/>
      <c r="F48" s="10"/>
      <c r="G48" s="11"/>
      <c r="H48" s="11"/>
      <c r="I48" s="12">
        <f t="shared" si="5"/>
        <v>0</v>
      </c>
      <c r="J48" s="12">
        <f t="shared" si="6"/>
        <v>0</v>
      </c>
      <c r="K48" s="12">
        <f t="shared" si="7"/>
        <v>0</v>
      </c>
      <c r="L48" s="12">
        <f t="shared" si="8"/>
        <v>0</v>
      </c>
      <c r="M48" s="12">
        <f t="shared" si="9"/>
        <v>0</v>
      </c>
      <c r="N48" s="59"/>
      <c r="O48" s="59"/>
      <c r="P48" s="59"/>
      <c r="Q48" s="59"/>
      <c r="R48" s="59"/>
      <c r="S48" s="59"/>
      <c r="T48" s="59"/>
      <c r="U48" s="59"/>
      <c r="V48" s="59"/>
      <c r="W48" s="59"/>
      <c r="X48" s="59"/>
      <c r="Y48" s="98"/>
    </row>
    <row r="49" spans="1:25" s="18" customFormat="1" ht="14.25" customHeight="1" x14ac:dyDescent="0.35">
      <c r="A49" s="1"/>
      <c r="B49" s="97" t="s">
        <v>123</v>
      </c>
      <c r="C49" s="9"/>
      <c r="D49" s="9"/>
      <c r="E49" s="9"/>
      <c r="F49" s="10"/>
      <c r="G49" s="11"/>
      <c r="H49" s="11"/>
      <c r="I49" s="12">
        <f t="shared" si="5"/>
        <v>0</v>
      </c>
      <c r="J49" s="12">
        <f t="shared" si="6"/>
        <v>0</v>
      </c>
      <c r="K49" s="12">
        <f t="shared" si="7"/>
        <v>0</v>
      </c>
      <c r="L49" s="12">
        <f t="shared" si="8"/>
        <v>0</v>
      </c>
      <c r="M49" s="12">
        <f t="shared" si="9"/>
        <v>0</v>
      </c>
      <c r="N49" s="59"/>
      <c r="O49" s="59"/>
      <c r="P49" s="59"/>
      <c r="Q49" s="59"/>
      <c r="R49" s="59"/>
      <c r="S49" s="59"/>
      <c r="T49" s="59"/>
      <c r="U49" s="59"/>
      <c r="V49" s="59"/>
      <c r="W49" s="59"/>
      <c r="X49" s="59"/>
      <c r="Y49" s="98"/>
    </row>
    <row r="50" spans="1:25" s="18" customFormat="1" ht="15.5" x14ac:dyDescent="0.35">
      <c r="A50" s="1"/>
      <c r="B50" s="193" t="s">
        <v>46</v>
      </c>
      <c r="C50" s="137"/>
      <c r="D50" s="138"/>
      <c r="E50" s="6"/>
      <c r="F50" s="7"/>
      <c r="G50" s="8"/>
      <c r="H50" s="8">
        <f t="shared" ref="H50:Y50" si="15">SUM(H51:H62)</f>
        <v>1</v>
      </c>
      <c r="I50" s="8">
        <f t="shared" si="15"/>
        <v>6401</v>
      </c>
      <c r="J50" s="8">
        <f t="shared" si="15"/>
        <v>464.07249999999999</v>
      </c>
      <c r="K50" s="8">
        <f t="shared" si="15"/>
        <v>343.25362500000006</v>
      </c>
      <c r="L50" s="8">
        <f t="shared" si="15"/>
        <v>7208.3261250000005</v>
      </c>
      <c r="M50" s="8">
        <f t="shared" si="15"/>
        <v>7208.3261250000005</v>
      </c>
      <c r="N50" s="8">
        <f t="shared" si="15"/>
        <v>7208.3261250000005</v>
      </c>
      <c r="O50" s="8">
        <f t="shared" si="15"/>
        <v>0</v>
      </c>
      <c r="P50" s="8">
        <f t="shared" si="15"/>
        <v>0</v>
      </c>
      <c r="Q50" s="8">
        <f t="shared" si="15"/>
        <v>0</v>
      </c>
      <c r="R50" s="8">
        <f t="shared" si="15"/>
        <v>0</v>
      </c>
      <c r="S50" s="8">
        <f t="shared" si="15"/>
        <v>0</v>
      </c>
      <c r="T50" s="8">
        <f t="shared" si="15"/>
        <v>0</v>
      </c>
      <c r="U50" s="8">
        <f t="shared" si="15"/>
        <v>0</v>
      </c>
      <c r="V50" s="8">
        <f t="shared" si="15"/>
        <v>0</v>
      </c>
      <c r="W50" s="8">
        <f t="shared" si="15"/>
        <v>0</v>
      </c>
      <c r="X50" s="8">
        <f t="shared" si="15"/>
        <v>0</v>
      </c>
      <c r="Y50" s="96">
        <f t="shared" si="15"/>
        <v>0</v>
      </c>
    </row>
    <row r="51" spans="1:25" s="60" customFormat="1" ht="14.25" customHeight="1" x14ac:dyDescent="0.35">
      <c r="A51" s="1"/>
      <c r="B51" s="97" t="s">
        <v>47</v>
      </c>
      <c r="C51" s="9" t="s">
        <v>101</v>
      </c>
      <c r="D51" s="9" t="s">
        <v>102</v>
      </c>
      <c r="E51" s="9" t="s">
        <v>107</v>
      </c>
      <c r="F51" s="10">
        <v>4</v>
      </c>
      <c r="G51" s="11">
        <v>1600</v>
      </c>
      <c r="H51" s="11">
        <v>1</v>
      </c>
      <c r="I51" s="12">
        <f t="shared" ref="I51:I62" si="16">(F51*G51)+H51</f>
        <v>6401</v>
      </c>
      <c r="J51" s="12">
        <f t="shared" ref="J51:J62" si="17">I51*$D$20</f>
        <v>464.07249999999999</v>
      </c>
      <c r="K51" s="12">
        <f t="shared" ref="K51:K62" si="18">SUM(I51:J51)*5%</f>
        <v>343.25362500000006</v>
      </c>
      <c r="L51" s="12">
        <f t="shared" ref="L51:L62" si="19">SUM(I51:K51)</f>
        <v>7208.3261250000005</v>
      </c>
      <c r="M51" s="12">
        <f t="shared" ref="M51:M62" si="20">SUM(N51, O51,P51,Q51,R51,S51,T51,U51,V51,W51,X51,Y51)</f>
        <v>7208.3261250000005</v>
      </c>
      <c r="N51" s="59">
        <f>L51</f>
        <v>7208.3261250000005</v>
      </c>
      <c r="O51" s="59"/>
      <c r="P51" s="59"/>
      <c r="Q51" s="59"/>
      <c r="R51" s="59"/>
      <c r="S51" s="59"/>
      <c r="T51" s="59"/>
      <c r="U51" s="59"/>
      <c r="V51" s="59"/>
      <c r="W51" s="59"/>
      <c r="X51" s="59"/>
      <c r="Y51" s="98"/>
    </row>
    <row r="52" spans="1:25" s="60" customFormat="1" ht="14.25" customHeight="1" x14ac:dyDescent="0.35">
      <c r="A52" s="1"/>
      <c r="B52" s="97" t="s">
        <v>48</v>
      </c>
      <c r="C52" s="9"/>
      <c r="D52" s="9"/>
      <c r="E52" s="9"/>
      <c r="F52" s="10"/>
      <c r="G52" s="11"/>
      <c r="H52" s="11"/>
      <c r="I52" s="12">
        <f t="shared" si="16"/>
        <v>0</v>
      </c>
      <c r="J52" s="12">
        <f t="shared" si="17"/>
        <v>0</v>
      </c>
      <c r="K52" s="12">
        <f t="shared" si="18"/>
        <v>0</v>
      </c>
      <c r="L52" s="12">
        <f t="shared" si="19"/>
        <v>0</v>
      </c>
      <c r="M52" s="12">
        <f t="shared" si="20"/>
        <v>0</v>
      </c>
      <c r="N52" s="59"/>
      <c r="O52" s="59"/>
      <c r="P52" s="59"/>
      <c r="Q52" s="59"/>
      <c r="R52" s="59"/>
      <c r="S52" s="59"/>
      <c r="T52" s="59"/>
      <c r="U52" s="59"/>
      <c r="V52" s="59"/>
      <c r="W52" s="59"/>
      <c r="X52" s="59"/>
      <c r="Y52" s="98"/>
    </row>
    <row r="53" spans="1:25" s="60" customFormat="1" ht="14.25" customHeight="1" x14ac:dyDescent="0.35">
      <c r="A53" s="1"/>
      <c r="B53" s="97" t="s">
        <v>49</v>
      </c>
      <c r="C53" s="9"/>
      <c r="D53" s="9"/>
      <c r="E53" s="9"/>
      <c r="F53" s="10"/>
      <c r="G53" s="11"/>
      <c r="H53" s="11"/>
      <c r="I53" s="12">
        <f t="shared" si="16"/>
        <v>0</v>
      </c>
      <c r="J53" s="12">
        <f t="shared" si="17"/>
        <v>0</v>
      </c>
      <c r="K53" s="12">
        <f t="shared" si="18"/>
        <v>0</v>
      </c>
      <c r="L53" s="12">
        <f t="shared" si="19"/>
        <v>0</v>
      </c>
      <c r="M53" s="12">
        <f t="shared" si="20"/>
        <v>0</v>
      </c>
      <c r="N53" s="59"/>
      <c r="O53" s="59"/>
      <c r="P53" s="59"/>
      <c r="Q53" s="59"/>
      <c r="R53" s="59"/>
      <c r="S53" s="59"/>
      <c r="T53" s="59"/>
      <c r="U53" s="59"/>
      <c r="V53" s="59"/>
      <c r="W53" s="59"/>
      <c r="X53" s="59"/>
      <c r="Y53" s="98"/>
    </row>
    <row r="54" spans="1:25" s="60" customFormat="1" ht="14.25" customHeight="1" x14ac:dyDescent="0.35">
      <c r="A54" s="1"/>
      <c r="B54" s="97" t="s">
        <v>50</v>
      </c>
      <c r="C54" s="9"/>
      <c r="D54" s="9"/>
      <c r="E54" s="9"/>
      <c r="F54" s="10"/>
      <c r="G54" s="11"/>
      <c r="H54" s="11"/>
      <c r="I54" s="12">
        <f t="shared" si="16"/>
        <v>0</v>
      </c>
      <c r="J54" s="12">
        <f t="shared" si="17"/>
        <v>0</v>
      </c>
      <c r="K54" s="12">
        <f t="shared" si="18"/>
        <v>0</v>
      </c>
      <c r="L54" s="12">
        <f t="shared" si="19"/>
        <v>0</v>
      </c>
      <c r="M54" s="12">
        <f t="shared" si="20"/>
        <v>0</v>
      </c>
      <c r="N54" s="59"/>
      <c r="O54" s="59"/>
      <c r="P54" s="59"/>
      <c r="Q54" s="59"/>
      <c r="R54" s="59"/>
      <c r="S54" s="59"/>
      <c r="T54" s="59"/>
      <c r="U54" s="59"/>
      <c r="V54" s="59"/>
      <c r="W54" s="59"/>
      <c r="X54" s="59"/>
      <c r="Y54" s="98"/>
    </row>
    <row r="55" spans="1:25" s="60" customFormat="1" ht="14.25" customHeight="1" x14ac:dyDescent="0.35">
      <c r="A55" s="1"/>
      <c r="B55" s="97" t="s">
        <v>51</v>
      </c>
      <c r="C55" s="9"/>
      <c r="D55" s="9"/>
      <c r="E55" s="9"/>
      <c r="F55" s="10"/>
      <c r="G55" s="11"/>
      <c r="H55" s="11"/>
      <c r="I55" s="12">
        <f t="shared" si="16"/>
        <v>0</v>
      </c>
      <c r="J55" s="12">
        <f t="shared" si="17"/>
        <v>0</v>
      </c>
      <c r="K55" s="12">
        <f t="shared" si="18"/>
        <v>0</v>
      </c>
      <c r="L55" s="12">
        <f t="shared" si="19"/>
        <v>0</v>
      </c>
      <c r="M55" s="12">
        <f t="shared" si="20"/>
        <v>0</v>
      </c>
      <c r="N55" s="59"/>
      <c r="O55" s="59"/>
      <c r="P55" s="59"/>
      <c r="Q55" s="59"/>
      <c r="R55" s="59"/>
      <c r="S55" s="59"/>
      <c r="T55" s="59"/>
      <c r="U55" s="59"/>
      <c r="V55" s="59"/>
      <c r="W55" s="59"/>
      <c r="X55" s="59"/>
      <c r="Y55" s="98"/>
    </row>
    <row r="56" spans="1:25" s="60" customFormat="1" ht="14.25" customHeight="1" x14ac:dyDescent="0.35">
      <c r="A56" s="1"/>
      <c r="B56" s="97" t="s">
        <v>52</v>
      </c>
      <c r="C56" s="9"/>
      <c r="D56" s="9"/>
      <c r="E56" s="9"/>
      <c r="F56" s="10"/>
      <c r="G56" s="11"/>
      <c r="H56" s="11"/>
      <c r="I56" s="12">
        <f t="shared" si="16"/>
        <v>0</v>
      </c>
      <c r="J56" s="12">
        <f t="shared" si="17"/>
        <v>0</v>
      </c>
      <c r="K56" s="12">
        <f t="shared" si="18"/>
        <v>0</v>
      </c>
      <c r="L56" s="12">
        <f t="shared" si="19"/>
        <v>0</v>
      </c>
      <c r="M56" s="12">
        <f t="shared" si="20"/>
        <v>0</v>
      </c>
      <c r="N56" s="59"/>
      <c r="O56" s="59"/>
      <c r="P56" s="59"/>
      <c r="Q56" s="59"/>
      <c r="R56" s="59"/>
      <c r="S56" s="59"/>
      <c r="T56" s="59"/>
      <c r="U56" s="59"/>
      <c r="V56" s="59"/>
      <c r="W56" s="59"/>
      <c r="X56" s="59"/>
      <c r="Y56" s="98"/>
    </row>
    <row r="57" spans="1:25" s="60" customFormat="1" ht="14.25" customHeight="1" x14ac:dyDescent="0.35">
      <c r="A57" s="1"/>
      <c r="B57" s="97" t="s">
        <v>53</v>
      </c>
      <c r="C57" s="9"/>
      <c r="D57" s="9"/>
      <c r="E57" s="9"/>
      <c r="F57" s="10"/>
      <c r="G57" s="11"/>
      <c r="H57" s="11"/>
      <c r="I57" s="12">
        <f t="shared" si="16"/>
        <v>0</v>
      </c>
      <c r="J57" s="12">
        <f t="shared" si="17"/>
        <v>0</v>
      </c>
      <c r="K57" s="12">
        <f t="shared" si="18"/>
        <v>0</v>
      </c>
      <c r="L57" s="12">
        <f t="shared" si="19"/>
        <v>0</v>
      </c>
      <c r="M57" s="12">
        <f t="shared" si="20"/>
        <v>0</v>
      </c>
      <c r="N57" s="59"/>
      <c r="O57" s="59"/>
      <c r="P57" s="59"/>
      <c r="Q57" s="59"/>
      <c r="R57" s="59"/>
      <c r="S57" s="59"/>
      <c r="T57" s="59"/>
      <c r="U57" s="59"/>
      <c r="V57" s="59"/>
      <c r="W57" s="59"/>
      <c r="X57" s="59"/>
      <c r="Y57" s="98"/>
    </row>
    <row r="58" spans="1:25" s="60" customFormat="1" ht="14.25" customHeight="1" x14ac:dyDescent="0.35">
      <c r="A58" s="1"/>
      <c r="B58" s="97" t="s">
        <v>54</v>
      </c>
      <c r="C58" s="9"/>
      <c r="D58" s="9"/>
      <c r="E58" s="9"/>
      <c r="F58" s="10"/>
      <c r="G58" s="11"/>
      <c r="H58" s="11"/>
      <c r="I58" s="12">
        <f t="shared" ref="I58:I59" si="21">(F58*G58)+H58</f>
        <v>0</v>
      </c>
      <c r="J58" s="12">
        <f t="shared" ref="J58:J59" si="22">I58*$D$20</f>
        <v>0</v>
      </c>
      <c r="K58" s="12">
        <f t="shared" ref="K58:K59" si="23">SUM(I58:J58)*5%</f>
        <v>0</v>
      </c>
      <c r="L58" s="12">
        <f t="shared" ref="L58:L59" si="24">SUM(I58:K58)</f>
        <v>0</v>
      </c>
      <c r="M58" s="12">
        <f t="shared" ref="M58:M59" si="25">SUM(N58, O58,P58,Q58,R58,S58,T58,U58,V58,W58,X58,Y58)</f>
        <v>0</v>
      </c>
      <c r="N58" s="59"/>
      <c r="O58" s="59"/>
      <c r="P58" s="59"/>
      <c r="Q58" s="59"/>
      <c r="R58" s="59"/>
      <c r="S58" s="59"/>
      <c r="T58" s="59"/>
      <c r="U58" s="59"/>
      <c r="V58" s="59"/>
      <c r="W58" s="59"/>
      <c r="X58" s="59"/>
      <c r="Y58" s="98"/>
    </row>
    <row r="59" spans="1:25" s="60" customFormat="1" ht="14.25" customHeight="1" x14ac:dyDescent="0.35">
      <c r="A59" s="1"/>
      <c r="B59" s="97" t="s">
        <v>55</v>
      </c>
      <c r="C59" s="9"/>
      <c r="D59" s="9"/>
      <c r="E59" s="9"/>
      <c r="F59" s="10"/>
      <c r="G59" s="11"/>
      <c r="H59" s="11"/>
      <c r="I59" s="12">
        <f t="shared" si="21"/>
        <v>0</v>
      </c>
      <c r="J59" s="12">
        <f t="shared" si="22"/>
        <v>0</v>
      </c>
      <c r="K59" s="12">
        <f t="shared" si="23"/>
        <v>0</v>
      </c>
      <c r="L59" s="12">
        <f t="shared" si="24"/>
        <v>0</v>
      </c>
      <c r="M59" s="12">
        <f t="shared" si="25"/>
        <v>0</v>
      </c>
      <c r="N59" s="59"/>
      <c r="O59" s="59"/>
      <c r="P59" s="59"/>
      <c r="Q59" s="59"/>
      <c r="R59" s="59"/>
      <c r="S59" s="59"/>
      <c r="T59" s="59"/>
      <c r="U59" s="59"/>
      <c r="V59" s="59"/>
      <c r="W59" s="59"/>
      <c r="X59" s="59"/>
      <c r="Y59" s="98"/>
    </row>
    <row r="60" spans="1:25" s="60" customFormat="1" ht="14.25" customHeight="1" x14ac:dyDescent="0.35">
      <c r="A60" s="1"/>
      <c r="B60" s="97" t="s">
        <v>56</v>
      </c>
      <c r="C60" s="9"/>
      <c r="D60" s="9"/>
      <c r="E60" s="9"/>
      <c r="F60" s="10"/>
      <c r="G60" s="11"/>
      <c r="H60" s="11"/>
      <c r="I60" s="12">
        <f t="shared" si="16"/>
        <v>0</v>
      </c>
      <c r="J60" s="12">
        <f t="shared" si="17"/>
        <v>0</v>
      </c>
      <c r="K60" s="12">
        <f t="shared" si="18"/>
        <v>0</v>
      </c>
      <c r="L60" s="12">
        <f t="shared" si="19"/>
        <v>0</v>
      </c>
      <c r="M60" s="12">
        <f t="shared" si="20"/>
        <v>0</v>
      </c>
      <c r="N60" s="59"/>
      <c r="O60" s="59"/>
      <c r="P60" s="59"/>
      <c r="Q60" s="59"/>
      <c r="R60" s="59"/>
      <c r="S60" s="59"/>
      <c r="T60" s="59"/>
      <c r="U60" s="59"/>
      <c r="V60" s="59"/>
      <c r="W60" s="59"/>
      <c r="X60" s="59"/>
      <c r="Y60" s="98"/>
    </row>
    <row r="61" spans="1:25" s="60" customFormat="1" ht="14.25" customHeight="1" x14ac:dyDescent="0.35">
      <c r="A61" s="1"/>
      <c r="B61" s="97" t="s">
        <v>124</v>
      </c>
      <c r="C61" s="9"/>
      <c r="D61" s="9"/>
      <c r="E61" s="9"/>
      <c r="F61" s="10"/>
      <c r="G61" s="11"/>
      <c r="H61" s="11"/>
      <c r="I61" s="12">
        <f t="shared" si="16"/>
        <v>0</v>
      </c>
      <c r="J61" s="12">
        <f t="shared" si="17"/>
        <v>0</v>
      </c>
      <c r="K61" s="12">
        <f t="shared" si="18"/>
        <v>0</v>
      </c>
      <c r="L61" s="12">
        <f t="shared" si="19"/>
        <v>0</v>
      </c>
      <c r="M61" s="12">
        <f t="shared" si="20"/>
        <v>0</v>
      </c>
      <c r="N61" s="59"/>
      <c r="O61" s="59"/>
      <c r="P61" s="59"/>
      <c r="Q61" s="59"/>
      <c r="R61" s="59"/>
      <c r="S61" s="59"/>
      <c r="T61" s="59"/>
      <c r="U61" s="59"/>
      <c r="V61" s="59"/>
      <c r="W61" s="59"/>
      <c r="X61" s="59"/>
      <c r="Y61" s="98"/>
    </row>
    <row r="62" spans="1:25" s="60" customFormat="1" ht="14.25" customHeight="1" x14ac:dyDescent="0.35">
      <c r="A62" s="1"/>
      <c r="B62" s="97" t="s">
        <v>125</v>
      </c>
      <c r="C62" s="9"/>
      <c r="D62" s="9"/>
      <c r="E62" s="9"/>
      <c r="F62" s="10"/>
      <c r="G62" s="11"/>
      <c r="H62" s="11"/>
      <c r="I62" s="12">
        <f t="shared" si="16"/>
        <v>0</v>
      </c>
      <c r="J62" s="12">
        <f t="shared" si="17"/>
        <v>0</v>
      </c>
      <c r="K62" s="12">
        <f t="shared" si="18"/>
        <v>0</v>
      </c>
      <c r="L62" s="12">
        <f t="shared" si="19"/>
        <v>0</v>
      </c>
      <c r="M62" s="12">
        <f t="shared" si="20"/>
        <v>0</v>
      </c>
      <c r="N62" s="59"/>
      <c r="O62" s="59"/>
      <c r="P62" s="59"/>
      <c r="Q62" s="59"/>
      <c r="R62" s="59"/>
      <c r="S62" s="59"/>
      <c r="T62" s="59"/>
      <c r="U62" s="59"/>
      <c r="V62" s="59"/>
      <c r="W62" s="59"/>
      <c r="X62" s="59"/>
      <c r="Y62" s="98"/>
    </row>
    <row r="63" spans="1:25" s="18" customFormat="1" ht="15.5" x14ac:dyDescent="0.35">
      <c r="A63" s="1"/>
      <c r="B63" s="193" t="s">
        <v>57</v>
      </c>
      <c r="C63" s="137"/>
      <c r="D63" s="138"/>
      <c r="E63" s="6"/>
      <c r="F63" s="7"/>
      <c r="G63" s="8"/>
      <c r="H63" s="8">
        <f t="shared" ref="H63:Y63" si="26">SUM(H64:H75)</f>
        <v>1</v>
      </c>
      <c r="I63" s="8">
        <f t="shared" si="26"/>
        <v>601</v>
      </c>
      <c r="J63" s="8">
        <f t="shared" si="26"/>
        <v>43.572499999999998</v>
      </c>
      <c r="K63" s="8">
        <f t="shared" si="26"/>
        <v>32.228625000000001</v>
      </c>
      <c r="L63" s="8">
        <f t="shared" si="26"/>
        <v>676.80112499999996</v>
      </c>
      <c r="M63" s="8">
        <f t="shared" si="26"/>
        <v>676.80112499999996</v>
      </c>
      <c r="N63" s="8">
        <f t="shared" si="26"/>
        <v>676.80112499999996</v>
      </c>
      <c r="O63" s="8">
        <f t="shared" si="26"/>
        <v>0</v>
      </c>
      <c r="P63" s="8">
        <f t="shared" si="26"/>
        <v>0</v>
      </c>
      <c r="Q63" s="8">
        <f t="shared" si="26"/>
        <v>0</v>
      </c>
      <c r="R63" s="8">
        <f t="shared" si="26"/>
        <v>0</v>
      </c>
      <c r="S63" s="8">
        <f t="shared" si="26"/>
        <v>0</v>
      </c>
      <c r="T63" s="8">
        <f t="shared" si="26"/>
        <v>0</v>
      </c>
      <c r="U63" s="8">
        <f t="shared" si="26"/>
        <v>0</v>
      </c>
      <c r="V63" s="8">
        <f t="shared" si="26"/>
        <v>0</v>
      </c>
      <c r="W63" s="8">
        <f t="shared" si="26"/>
        <v>0</v>
      </c>
      <c r="X63" s="8">
        <f t="shared" si="26"/>
        <v>0</v>
      </c>
      <c r="Y63" s="96">
        <f t="shared" si="26"/>
        <v>0</v>
      </c>
    </row>
    <row r="64" spans="1:25" s="60" customFormat="1" ht="14.25" customHeight="1" x14ac:dyDescent="0.35">
      <c r="A64" s="1"/>
      <c r="B64" s="97" t="s">
        <v>58</v>
      </c>
      <c r="C64" s="9" t="s">
        <v>101</v>
      </c>
      <c r="D64" s="9" t="s">
        <v>102</v>
      </c>
      <c r="E64" s="9" t="s">
        <v>110</v>
      </c>
      <c r="F64" s="10">
        <v>2</v>
      </c>
      <c r="G64" s="11">
        <v>300</v>
      </c>
      <c r="H64" s="11">
        <v>1</v>
      </c>
      <c r="I64" s="12">
        <f t="shared" ref="I64:I75" si="27">(F64*G64)+H64</f>
        <v>601</v>
      </c>
      <c r="J64" s="12">
        <f t="shared" ref="J64:J75" si="28">I64*$D$20</f>
        <v>43.572499999999998</v>
      </c>
      <c r="K64" s="12">
        <f t="shared" ref="K64:K75" si="29">SUM(I64:J64)*5%</f>
        <v>32.228625000000001</v>
      </c>
      <c r="L64" s="12">
        <f t="shared" ref="L64:L75" si="30">SUM(I64:K64)</f>
        <v>676.80112499999996</v>
      </c>
      <c r="M64" s="12">
        <f t="shared" ref="M64:M75" si="31">SUM(N64, O64,P64,Q64,R64,S64,T64,U64,V64,W64,X64,Y64)</f>
        <v>676.80112499999996</v>
      </c>
      <c r="N64" s="59">
        <f>L64</f>
        <v>676.80112499999996</v>
      </c>
      <c r="O64" s="59"/>
      <c r="P64" s="59"/>
      <c r="Q64" s="59"/>
      <c r="R64" s="59"/>
      <c r="S64" s="59"/>
      <c r="T64" s="59"/>
      <c r="U64" s="59"/>
      <c r="V64" s="59"/>
      <c r="W64" s="59"/>
      <c r="X64" s="59"/>
      <c r="Y64" s="98"/>
    </row>
    <row r="65" spans="1:25" s="60" customFormat="1" ht="14.25" customHeight="1" x14ac:dyDescent="0.35">
      <c r="A65" s="1"/>
      <c r="B65" s="97" t="s">
        <v>59</v>
      </c>
      <c r="C65" s="9"/>
      <c r="D65" s="9"/>
      <c r="E65" s="9"/>
      <c r="F65" s="10"/>
      <c r="G65" s="11"/>
      <c r="H65" s="11"/>
      <c r="I65" s="12">
        <f t="shared" si="27"/>
        <v>0</v>
      </c>
      <c r="J65" s="12">
        <f t="shared" si="28"/>
        <v>0</v>
      </c>
      <c r="K65" s="12">
        <f t="shared" si="29"/>
        <v>0</v>
      </c>
      <c r="L65" s="12">
        <f t="shared" si="30"/>
        <v>0</v>
      </c>
      <c r="M65" s="12">
        <f t="shared" si="31"/>
        <v>0</v>
      </c>
      <c r="N65" s="59"/>
      <c r="O65" s="59"/>
      <c r="P65" s="59"/>
      <c r="Q65" s="59"/>
      <c r="R65" s="59"/>
      <c r="S65" s="59"/>
      <c r="T65" s="59"/>
      <c r="U65" s="59"/>
      <c r="V65" s="59"/>
      <c r="W65" s="59"/>
      <c r="X65" s="59"/>
      <c r="Y65" s="98"/>
    </row>
    <row r="66" spans="1:25" s="60" customFormat="1" ht="14.25" customHeight="1" x14ac:dyDescent="0.35">
      <c r="A66" s="1"/>
      <c r="B66" s="97" t="s">
        <v>60</v>
      </c>
      <c r="C66" s="9"/>
      <c r="D66" s="9"/>
      <c r="E66" s="9"/>
      <c r="F66" s="10"/>
      <c r="G66" s="11"/>
      <c r="H66" s="11"/>
      <c r="I66" s="12">
        <f t="shared" si="27"/>
        <v>0</v>
      </c>
      <c r="J66" s="12">
        <f t="shared" si="28"/>
        <v>0</v>
      </c>
      <c r="K66" s="12">
        <f t="shared" si="29"/>
        <v>0</v>
      </c>
      <c r="L66" s="12">
        <f t="shared" si="30"/>
        <v>0</v>
      </c>
      <c r="M66" s="12">
        <f t="shared" si="31"/>
        <v>0</v>
      </c>
      <c r="N66" s="59"/>
      <c r="O66" s="59"/>
      <c r="P66" s="59"/>
      <c r="Q66" s="59"/>
      <c r="R66" s="59"/>
      <c r="S66" s="59"/>
      <c r="T66" s="59"/>
      <c r="U66" s="59"/>
      <c r="V66" s="59"/>
      <c r="W66" s="59"/>
      <c r="X66" s="59"/>
      <c r="Y66" s="98"/>
    </row>
    <row r="67" spans="1:25" s="60" customFormat="1" ht="14.25" customHeight="1" x14ac:dyDescent="0.35">
      <c r="A67" s="1"/>
      <c r="B67" s="97" t="s">
        <v>61</v>
      </c>
      <c r="C67" s="9"/>
      <c r="D67" s="9"/>
      <c r="E67" s="9"/>
      <c r="F67" s="10"/>
      <c r="G67" s="11"/>
      <c r="H67" s="11"/>
      <c r="I67" s="12">
        <f t="shared" si="27"/>
        <v>0</v>
      </c>
      <c r="J67" s="12">
        <f t="shared" si="28"/>
        <v>0</v>
      </c>
      <c r="K67" s="12">
        <f t="shared" si="29"/>
        <v>0</v>
      </c>
      <c r="L67" s="12">
        <f t="shared" si="30"/>
        <v>0</v>
      </c>
      <c r="M67" s="12">
        <f t="shared" si="31"/>
        <v>0</v>
      </c>
      <c r="N67" s="59"/>
      <c r="O67" s="59"/>
      <c r="P67" s="59"/>
      <c r="Q67" s="59"/>
      <c r="R67" s="59"/>
      <c r="S67" s="59"/>
      <c r="T67" s="59"/>
      <c r="U67" s="59"/>
      <c r="V67" s="59"/>
      <c r="W67" s="59"/>
      <c r="X67" s="59"/>
      <c r="Y67" s="98"/>
    </row>
    <row r="68" spans="1:25" s="61" customFormat="1" ht="14.25" customHeight="1" x14ac:dyDescent="0.35">
      <c r="A68" s="1"/>
      <c r="B68" s="97" t="s">
        <v>62</v>
      </c>
      <c r="C68" s="9"/>
      <c r="D68" s="9"/>
      <c r="E68" s="9"/>
      <c r="F68" s="10"/>
      <c r="G68" s="11"/>
      <c r="H68" s="11"/>
      <c r="I68" s="12">
        <f t="shared" si="27"/>
        <v>0</v>
      </c>
      <c r="J68" s="12">
        <f t="shared" si="28"/>
        <v>0</v>
      </c>
      <c r="K68" s="12">
        <f t="shared" si="29"/>
        <v>0</v>
      </c>
      <c r="L68" s="12">
        <f t="shared" si="30"/>
        <v>0</v>
      </c>
      <c r="M68" s="12">
        <f t="shared" si="31"/>
        <v>0</v>
      </c>
      <c r="N68" s="59"/>
      <c r="O68" s="59"/>
      <c r="P68" s="59"/>
      <c r="Q68" s="59"/>
      <c r="R68" s="59"/>
      <c r="S68" s="59"/>
      <c r="T68" s="59"/>
      <c r="U68" s="59"/>
      <c r="V68" s="59"/>
      <c r="W68" s="59"/>
      <c r="X68" s="59"/>
      <c r="Y68" s="98"/>
    </row>
    <row r="69" spans="1:25" s="60" customFormat="1" ht="14.25" customHeight="1" x14ac:dyDescent="0.35">
      <c r="A69" s="1"/>
      <c r="B69" s="97" t="s">
        <v>63</v>
      </c>
      <c r="C69" s="9"/>
      <c r="D69" s="9"/>
      <c r="E69" s="9"/>
      <c r="F69" s="10"/>
      <c r="G69" s="11"/>
      <c r="H69" s="11"/>
      <c r="I69" s="12">
        <f t="shared" si="27"/>
        <v>0</v>
      </c>
      <c r="J69" s="12">
        <f t="shared" si="28"/>
        <v>0</v>
      </c>
      <c r="K69" s="12">
        <f t="shared" si="29"/>
        <v>0</v>
      </c>
      <c r="L69" s="12">
        <f t="shared" si="30"/>
        <v>0</v>
      </c>
      <c r="M69" s="12">
        <f t="shared" si="31"/>
        <v>0</v>
      </c>
      <c r="N69" s="59"/>
      <c r="O69" s="59"/>
      <c r="P69" s="59"/>
      <c r="Q69" s="59"/>
      <c r="R69" s="59"/>
      <c r="S69" s="59"/>
      <c r="T69" s="59"/>
      <c r="U69" s="59"/>
      <c r="V69" s="59"/>
      <c r="W69" s="59"/>
      <c r="X69" s="59"/>
      <c r="Y69" s="98"/>
    </row>
    <row r="70" spans="1:25" s="60" customFormat="1" ht="14.25" customHeight="1" x14ac:dyDescent="0.35">
      <c r="A70" s="1"/>
      <c r="B70" s="97" t="s">
        <v>64</v>
      </c>
      <c r="C70" s="9"/>
      <c r="D70" s="9"/>
      <c r="E70" s="9"/>
      <c r="F70" s="10"/>
      <c r="G70" s="11"/>
      <c r="H70" s="11"/>
      <c r="I70" s="12">
        <f t="shared" si="27"/>
        <v>0</v>
      </c>
      <c r="J70" s="12">
        <f t="shared" si="28"/>
        <v>0</v>
      </c>
      <c r="K70" s="12">
        <f t="shared" si="29"/>
        <v>0</v>
      </c>
      <c r="L70" s="12">
        <f t="shared" si="30"/>
        <v>0</v>
      </c>
      <c r="M70" s="12">
        <f t="shared" si="31"/>
        <v>0</v>
      </c>
      <c r="N70" s="59"/>
      <c r="O70" s="59"/>
      <c r="P70" s="59"/>
      <c r="Q70" s="59"/>
      <c r="R70" s="59"/>
      <c r="S70" s="59"/>
      <c r="T70" s="59"/>
      <c r="U70" s="59"/>
      <c r="V70" s="59"/>
      <c r="W70" s="59"/>
      <c r="X70" s="59"/>
      <c r="Y70" s="98"/>
    </row>
    <row r="71" spans="1:25" s="60" customFormat="1" ht="14.25" customHeight="1" x14ac:dyDescent="0.35">
      <c r="A71" s="1"/>
      <c r="B71" s="97" t="s">
        <v>65</v>
      </c>
      <c r="C71" s="9"/>
      <c r="D71" s="9"/>
      <c r="E71" s="9"/>
      <c r="F71" s="10"/>
      <c r="G71" s="11"/>
      <c r="H71" s="11"/>
      <c r="I71" s="12">
        <f t="shared" ref="I71:I72" si="32">(F71*G71)+H71</f>
        <v>0</v>
      </c>
      <c r="J71" s="12">
        <f t="shared" ref="J71:J72" si="33">I71*$D$20</f>
        <v>0</v>
      </c>
      <c r="K71" s="12">
        <f t="shared" ref="K71:K72" si="34">SUM(I71:J71)*5%</f>
        <v>0</v>
      </c>
      <c r="L71" s="12">
        <f t="shared" ref="L71:L72" si="35">SUM(I71:K71)</f>
        <v>0</v>
      </c>
      <c r="M71" s="12">
        <f t="shared" ref="M71:M72" si="36">SUM(N71, O71,P71,Q71,R71,S71,T71,U71,V71,W71,X71,Y71)</f>
        <v>0</v>
      </c>
      <c r="N71" s="59"/>
      <c r="O71" s="59"/>
      <c r="P71" s="59"/>
      <c r="Q71" s="59"/>
      <c r="R71" s="59"/>
      <c r="S71" s="59"/>
      <c r="T71" s="59"/>
      <c r="U71" s="59"/>
      <c r="V71" s="59"/>
      <c r="W71" s="59"/>
      <c r="X71" s="59"/>
      <c r="Y71" s="98"/>
    </row>
    <row r="72" spans="1:25" s="60" customFormat="1" ht="14.25" customHeight="1" x14ac:dyDescent="0.35">
      <c r="A72" s="1"/>
      <c r="B72" s="97" t="s">
        <v>66</v>
      </c>
      <c r="C72" s="9"/>
      <c r="D72" s="9"/>
      <c r="E72" s="9"/>
      <c r="F72" s="10"/>
      <c r="G72" s="11"/>
      <c r="H72" s="11"/>
      <c r="I72" s="12">
        <f t="shared" si="32"/>
        <v>0</v>
      </c>
      <c r="J72" s="12">
        <f t="shared" si="33"/>
        <v>0</v>
      </c>
      <c r="K72" s="12">
        <f t="shared" si="34"/>
        <v>0</v>
      </c>
      <c r="L72" s="12">
        <f t="shared" si="35"/>
        <v>0</v>
      </c>
      <c r="M72" s="12">
        <f t="shared" si="36"/>
        <v>0</v>
      </c>
      <c r="N72" s="59"/>
      <c r="O72" s="59"/>
      <c r="P72" s="59"/>
      <c r="Q72" s="59"/>
      <c r="R72" s="59"/>
      <c r="S72" s="59"/>
      <c r="T72" s="59"/>
      <c r="U72" s="59"/>
      <c r="V72" s="59"/>
      <c r="W72" s="59"/>
      <c r="X72" s="59"/>
      <c r="Y72" s="98"/>
    </row>
    <row r="73" spans="1:25" s="60" customFormat="1" ht="14.25" customHeight="1" x14ac:dyDescent="0.35">
      <c r="A73" s="1"/>
      <c r="B73" s="97" t="s">
        <v>67</v>
      </c>
      <c r="C73" s="9"/>
      <c r="D73" s="9"/>
      <c r="E73" s="9"/>
      <c r="F73" s="10"/>
      <c r="G73" s="11"/>
      <c r="H73" s="11"/>
      <c r="I73" s="12">
        <f t="shared" si="27"/>
        <v>0</v>
      </c>
      <c r="J73" s="12">
        <f t="shared" si="28"/>
        <v>0</v>
      </c>
      <c r="K73" s="12">
        <f t="shared" si="29"/>
        <v>0</v>
      </c>
      <c r="L73" s="12">
        <f t="shared" si="30"/>
        <v>0</v>
      </c>
      <c r="M73" s="12">
        <f t="shared" si="31"/>
        <v>0</v>
      </c>
      <c r="N73" s="59"/>
      <c r="O73" s="59"/>
      <c r="P73" s="59"/>
      <c r="Q73" s="59"/>
      <c r="R73" s="59"/>
      <c r="S73" s="59"/>
      <c r="T73" s="59"/>
      <c r="U73" s="59"/>
      <c r="V73" s="59"/>
      <c r="W73" s="59"/>
      <c r="X73" s="59"/>
      <c r="Y73" s="98"/>
    </row>
    <row r="74" spans="1:25" s="60" customFormat="1" ht="14.25" customHeight="1" x14ac:dyDescent="0.35">
      <c r="A74" s="1"/>
      <c r="B74" s="97" t="s">
        <v>126</v>
      </c>
      <c r="C74" s="9"/>
      <c r="D74" s="9"/>
      <c r="E74" s="9"/>
      <c r="F74" s="10"/>
      <c r="G74" s="11"/>
      <c r="H74" s="11"/>
      <c r="I74" s="12">
        <f t="shared" si="27"/>
        <v>0</v>
      </c>
      <c r="J74" s="12">
        <f t="shared" si="28"/>
        <v>0</v>
      </c>
      <c r="K74" s="12">
        <f t="shared" si="29"/>
        <v>0</v>
      </c>
      <c r="L74" s="12">
        <f t="shared" si="30"/>
        <v>0</v>
      </c>
      <c r="M74" s="12">
        <f t="shared" si="31"/>
        <v>0</v>
      </c>
      <c r="N74" s="59"/>
      <c r="O74" s="59"/>
      <c r="P74" s="59"/>
      <c r="Q74" s="59"/>
      <c r="R74" s="59"/>
      <c r="S74" s="59"/>
      <c r="T74" s="59"/>
      <c r="U74" s="59"/>
      <c r="V74" s="59"/>
      <c r="W74" s="59"/>
      <c r="X74" s="59"/>
      <c r="Y74" s="98"/>
    </row>
    <row r="75" spans="1:25" s="60" customFormat="1" ht="14.25" customHeight="1" x14ac:dyDescent="0.35">
      <c r="A75" s="1"/>
      <c r="B75" s="97" t="s">
        <v>127</v>
      </c>
      <c r="C75" s="9"/>
      <c r="D75" s="9"/>
      <c r="E75" s="9"/>
      <c r="F75" s="10"/>
      <c r="G75" s="11"/>
      <c r="H75" s="11"/>
      <c r="I75" s="12">
        <f t="shared" si="27"/>
        <v>0</v>
      </c>
      <c r="J75" s="12">
        <f t="shared" si="28"/>
        <v>0</v>
      </c>
      <c r="K75" s="12">
        <f t="shared" si="29"/>
        <v>0</v>
      </c>
      <c r="L75" s="12">
        <f t="shared" si="30"/>
        <v>0</v>
      </c>
      <c r="M75" s="12">
        <f t="shared" si="31"/>
        <v>0</v>
      </c>
      <c r="N75" s="59"/>
      <c r="O75" s="59"/>
      <c r="P75" s="59"/>
      <c r="Q75" s="59"/>
      <c r="R75" s="59"/>
      <c r="S75" s="59"/>
      <c r="T75" s="59"/>
      <c r="U75" s="59"/>
      <c r="V75" s="59"/>
      <c r="W75" s="59"/>
      <c r="X75" s="59"/>
      <c r="Y75" s="98"/>
    </row>
    <row r="76" spans="1:25" s="18" customFormat="1" ht="15.5" x14ac:dyDescent="0.35">
      <c r="A76" s="1"/>
      <c r="B76" s="193" t="s">
        <v>68</v>
      </c>
      <c r="C76" s="137"/>
      <c r="D76" s="138"/>
      <c r="E76" s="6"/>
      <c r="F76" s="7"/>
      <c r="G76" s="8"/>
      <c r="H76" s="8">
        <f t="shared" ref="H76:Y76" si="37">SUM(H77:H88)</f>
        <v>1</v>
      </c>
      <c r="I76" s="8">
        <f t="shared" si="37"/>
        <v>6001</v>
      </c>
      <c r="J76" s="8">
        <f t="shared" si="37"/>
        <v>435.07249999999999</v>
      </c>
      <c r="K76" s="8">
        <f t="shared" si="37"/>
        <v>321.80362500000001</v>
      </c>
      <c r="L76" s="8">
        <f t="shared" si="37"/>
        <v>6757.8761250000007</v>
      </c>
      <c r="M76" s="8">
        <f t="shared" si="37"/>
        <v>6757.8761250000007</v>
      </c>
      <c r="N76" s="8">
        <f t="shared" si="37"/>
        <v>6757.8761250000007</v>
      </c>
      <c r="O76" s="8">
        <f t="shared" si="37"/>
        <v>0</v>
      </c>
      <c r="P76" s="8">
        <f t="shared" si="37"/>
        <v>0</v>
      </c>
      <c r="Q76" s="8">
        <f t="shared" si="37"/>
        <v>0</v>
      </c>
      <c r="R76" s="8">
        <f t="shared" si="37"/>
        <v>0</v>
      </c>
      <c r="S76" s="8">
        <f t="shared" si="37"/>
        <v>0</v>
      </c>
      <c r="T76" s="8">
        <f t="shared" si="37"/>
        <v>0</v>
      </c>
      <c r="U76" s="8">
        <f t="shared" si="37"/>
        <v>0</v>
      </c>
      <c r="V76" s="8">
        <f t="shared" si="37"/>
        <v>0</v>
      </c>
      <c r="W76" s="8">
        <f t="shared" si="37"/>
        <v>0</v>
      </c>
      <c r="X76" s="8">
        <f t="shared" si="37"/>
        <v>0</v>
      </c>
      <c r="Y76" s="96">
        <f t="shared" si="37"/>
        <v>0</v>
      </c>
    </row>
    <row r="77" spans="1:25" s="60" customFormat="1" ht="14.25" customHeight="1" x14ac:dyDescent="0.35">
      <c r="A77" s="1"/>
      <c r="B77" s="97" t="s">
        <v>69</v>
      </c>
      <c r="C77" s="9" t="s">
        <v>101</v>
      </c>
      <c r="D77" s="9" t="s">
        <v>102</v>
      </c>
      <c r="E77" s="9" t="s">
        <v>111</v>
      </c>
      <c r="F77" s="10">
        <v>2</v>
      </c>
      <c r="G77" s="11">
        <v>3000</v>
      </c>
      <c r="H77" s="11">
        <v>1</v>
      </c>
      <c r="I77" s="12">
        <f t="shared" ref="I77:I88" si="38">(F77*G77)+H77</f>
        <v>6001</v>
      </c>
      <c r="J77" s="12">
        <f t="shared" ref="J77:J88" si="39">I77*$D$20</f>
        <v>435.07249999999999</v>
      </c>
      <c r="K77" s="12">
        <f t="shared" ref="K77:K88" si="40">SUM(I77:J77)*5%</f>
        <v>321.80362500000001</v>
      </c>
      <c r="L77" s="12">
        <f t="shared" ref="L77:L88" si="41">SUM(I77:K77)</f>
        <v>6757.8761250000007</v>
      </c>
      <c r="M77" s="12">
        <f t="shared" ref="M77:M88" si="42">SUM(N77, O77,P77,Q77,R77,S77,T77,U77,V77,W77,X77,Y77)</f>
        <v>6757.8761250000007</v>
      </c>
      <c r="N77" s="59">
        <f>L77</f>
        <v>6757.8761250000007</v>
      </c>
      <c r="O77" s="59"/>
      <c r="P77" s="59"/>
      <c r="Q77" s="59"/>
      <c r="R77" s="59"/>
      <c r="S77" s="59"/>
      <c r="T77" s="59"/>
      <c r="U77" s="59"/>
      <c r="V77" s="59"/>
      <c r="W77" s="59"/>
      <c r="X77" s="59"/>
      <c r="Y77" s="98"/>
    </row>
    <row r="78" spans="1:25" s="60" customFormat="1" ht="14.25" customHeight="1" x14ac:dyDescent="0.35">
      <c r="A78" s="1"/>
      <c r="B78" s="97" t="s">
        <v>70</v>
      </c>
      <c r="C78" s="9"/>
      <c r="D78" s="9"/>
      <c r="E78" s="9"/>
      <c r="F78" s="10"/>
      <c r="G78" s="11"/>
      <c r="H78" s="11"/>
      <c r="I78" s="12">
        <f t="shared" si="38"/>
        <v>0</v>
      </c>
      <c r="J78" s="12">
        <f t="shared" si="39"/>
        <v>0</v>
      </c>
      <c r="K78" s="12">
        <f t="shared" si="40"/>
        <v>0</v>
      </c>
      <c r="L78" s="12">
        <f t="shared" si="41"/>
        <v>0</v>
      </c>
      <c r="M78" s="12">
        <f t="shared" si="42"/>
        <v>0</v>
      </c>
      <c r="N78" s="59"/>
      <c r="O78" s="59"/>
      <c r="P78" s="59"/>
      <c r="Q78" s="59"/>
      <c r="R78" s="59"/>
      <c r="S78" s="59"/>
      <c r="T78" s="59"/>
      <c r="U78" s="59"/>
      <c r="V78" s="59"/>
      <c r="W78" s="59"/>
      <c r="X78" s="59"/>
      <c r="Y78" s="98"/>
    </row>
    <row r="79" spans="1:25" s="60" customFormat="1" ht="14.25" customHeight="1" x14ac:dyDescent="0.35">
      <c r="A79" s="1"/>
      <c r="B79" s="97" t="s">
        <v>71</v>
      </c>
      <c r="C79" s="9"/>
      <c r="D79" s="9"/>
      <c r="E79" s="9"/>
      <c r="F79" s="10"/>
      <c r="G79" s="11"/>
      <c r="H79" s="11"/>
      <c r="I79" s="12">
        <f t="shared" si="38"/>
        <v>0</v>
      </c>
      <c r="J79" s="12">
        <f t="shared" si="39"/>
        <v>0</v>
      </c>
      <c r="K79" s="12">
        <f t="shared" si="40"/>
        <v>0</v>
      </c>
      <c r="L79" s="12">
        <f t="shared" si="41"/>
        <v>0</v>
      </c>
      <c r="M79" s="12">
        <f t="shared" si="42"/>
        <v>0</v>
      </c>
      <c r="N79" s="59"/>
      <c r="O79" s="59"/>
      <c r="P79" s="59"/>
      <c r="Q79" s="59"/>
      <c r="R79" s="59"/>
      <c r="S79" s="59"/>
      <c r="T79" s="59"/>
      <c r="U79" s="59"/>
      <c r="V79" s="59"/>
      <c r="W79" s="59"/>
      <c r="X79" s="59"/>
      <c r="Y79" s="98"/>
    </row>
    <row r="80" spans="1:25" s="60" customFormat="1" ht="14.25" customHeight="1" x14ac:dyDescent="0.35">
      <c r="A80" s="1"/>
      <c r="B80" s="97" t="s">
        <v>72</v>
      </c>
      <c r="C80" s="9"/>
      <c r="D80" s="9"/>
      <c r="E80" s="9"/>
      <c r="F80" s="10"/>
      <c r="G80" s="11"/>
      <c r="H80" s="11"/>
      <c r="I80" s="12">
        <f t="shared" si="38"/>
        <v>0</v>
      </c>
      <c r="J80" s="12">
        <f t="shared" si="39"/>
        <v>0</v>
      </c>
      <c r="K80" s="12">
        <f t="shared" si="40"/>
        <v>0</v>
      </c>
      <c r="L80" s="12">
        <f t="shared" si="41"/>
        <v>0</v>
      </c>
      <c r="M80" s="12">
        <f t="shared" si="42"/>
        <v>0</v>
      </c>
      <c r="N80" s="59"/>
      <c r="O80" s="59"/>
      <c r="P80" s="59"/>
      <c r="Q80" s="59"/>
      <c r="R80" s="59"/>
      <c r="S80" s="59"/>
      <c r="T80" s="59"/>
      <c r="U80" s="59"/>
      <c r="V80" s="59"/>
      <c r="W80" s="59"/>
      <c r="X80" s="59"/>
      <c r="Y80" s="98"/>
    </row>
    <row r="81" spans="1:25" s="60" customFormat="1" ht="14.25" customHeight="1" x14ac:dyDescent="0.35">
      <c r="A81" s="1"/>
      <c r="B81" s="97" t="s">
        <v>73</v>
      </c>
      <c r="C81" s="9"/>
      <c r="D81" s="9"/>
      <c r="E81" s="9"/>
      <c r="F81" s="10"/>
      <c r="G81" s="11"/>
      <c r="H81" s="11"/>
      <c r="I81" s="12">
        <f t="shared" ref="I81:I82" si="43">(F81*G81)+H81</f>
        <v>0</v>
      </c>
      <c r="J81" s="12">
        <f t="shared" ref="J81:J82" si="44">I81*$D$20</f>
        <v>0</v>
      </c>
      <c r="K81" s="12">
        <f t="shared" ref="K81:K82" si="45">SUM(I81:J81)*5%</f>
        <v>0</v>
      </c>
      <c r="L81" s="12">
        <f t="shared" ref="L81:L82" si="46">SUM(I81:K81)</f>
        <v>0</v>
      </c>
      <c r="M81" s="12">
        <f t="shared" ref="M81:M82" si="47">SUM(N81, O81,P81,Q81,R81,S81,T81,U81,V81,W81,X81,Y81)</f>
        <v>0</v>
      </c>
      <c r="N81" s="59"/>
      <c r="O81" s="59"/>
      <c r="P81" s="59"/>
      <c r="Q81" s="59"/>
      <c r="R81" s="59"/>
      <c r="S81" s="59"/>
      <c r="T81" s="59"/>
      <c r="U81" s="59"/>
      <c r="V81" s="59"/>
      <c r="W81" s="59"/>
      <c r="X81" s="59"/>
      <c r="Y81" s="98"/>
    </row>
    <row r="82" spans="1:25" s="60" customFormat="1" ht="14.25" customHeight="1" x14ac:dyDescent="0.35">
      <c r="A82" s="1"/>
      <c r="B82" s="97" t="s">
        <v>74</v>
      </c>
      <c r="C82" s="9"/>
      <c r="D82" s="9"/>
      <c r="E82" s="9"/>
      <c r="F82" s="10"/>
      <c r="G82" s="11"/>
      <c r="H82" s="11"/>
      <c r="I82" s="12">
        <f t="shared" si="43"/>
        <v>0</v>
      </c>
      <c r="J82" s="12">
        <f t="shared" si="44"/>
        <v>0</v>
      </c>
      <c r="K82" s="12">
        <f t="shared" si="45"/>
        <v>0</v>
      </c>
      <c r="L82" s="12">
        <f t="shared" si="46"/>
        <v>0</v>
      </c>
      <c r="M82" s="12">
        <f t="shared" si="47"/>
        <v>0</v>
      </c>
      <c r="N82" s="59"/>
      <c r="O82" s="59"/>
      <c r="P82" s="59"/>
      <c r="Q82" s="59"/>
      <c r="R82" s="59"/>
      <c r="S82" s="59"/>
      <c r="T82" s="59"/>
      <c r="U82" s="59"/>
      <c r="V82" s="59"/>
      <c r="W82" s="59"/>
      <c r="X82" s="59"/>
      <c r="Y82" s="98"/>
    </row>
    <row r="83" spans="1:25" s="60" customFormat="1" ht="14.25" customHeight="1" x14ac:dyDescent="0.35">
      <c r="A83" s="1"/>
      <c r="B83" s="97" t="s">
        <v>75</v>
      </c>
      <c r="C83" s="9"/>
      <c r="D83" s="9"/>
      <c r="E83" s="9"/>
      <c r="F83" s="10"/>
      <c r="G83" s="11"/>
      <c r="H83" s="11"/>
      <c r="I83" s="12">
        <f t="shared" si="38"/>
        <v>0</v>
      </c>
      <c r="J83" s="12">
        <f t="shared" si="39"/>
        <v>0</v>
      </c>
      <c r="K83" s="12">
        <f t="shared" si="40"/>
        <v>0</v>
      </c>
      <c r="L83" s="12">
        <f t="shared" si="41"/>
        <v>0</v>
      </c>
      <c r="M83" s="12">
        <f t="shared" si="42"/>
        <v>0</v>
      </c>
      <c r="N83" s="59"/>
      <c r="O83" s="59"/>
      <c r="P83" s="59"/>
      <c r="Q83" s="59"/>
      <c r="R83" s="59"/>
      <c r="S83" s="59"/>
      <c r="T83" s="59"/>
      <c r="U83" s="59"/>
      <c r="V83" s="59"/>
      <c r="W83" s="59"/>
      <c r="X83" s="59"/>
      <c r="Y83" s="98"/>
    </row>
    <row r="84" spans="1:25" s="60" customFormat="1" ht="14.25" customHeight="1" x14ac:dyDescent="0.35">
      <c r="A84" s="1"/>
      <c r="B84" s="97" t="s">
        <v>76</v>
      </c>
      <c r="C84" s="9"/>
      <c r="D84" s="9"/>
      <c r="E84" s="9"/>
      <c r="F84" s="10"/>
      <c r="G84" s="11"/>
      <c r="H84" s="11"/>
      <c r="I84" s="12">
        <f t="shared" si="38"/>
        <v>0</v>
      </c>
      <c r="J84" s="12">
        <f t="shared" si="39"/>
        <v>0</v>
      </c>
      <c r="K84" s="12">
        <f t="shared" si="40"/>
        <v>0</v>
      </c>
      <c r="L84" s="12">
        <f t="shared" si="41"/>
        <v>0</v>
      </c>
      <c r="M84" s="12">
        <f t="shared" si="42"/>
        <v>0</v>
      </c>
      <c r="N84" s="59"/>
      <c r="O84" s="59"/>
      <c r="P84" s="59"/>
      <c r="Q84" s="59"/>
      <c r="R84" s="59"/>
      <c r="S84" s="59"/>
      <c r="T84" s="59"/>
      <c r="U84" s="59"/>
      <c r="V84" s="59"/>
      <c r="W84" s="59"/>
      <c r="X84" s="59"/>
      <c r="Y84" s="98"/>
    </row>
    <row r="85" spans="1:25" s="60" customFormat="1" ht="14.25" customHeight="1" x14ac:dyDescent="0.35">
      <c r="A85" s="1"/>
      <c r="B85" s="97" t="s">
        <v>77</v>
      </c>
      <c r="C85" s="9"/>
      <c r="D85" s="9"/>
      <c r="E85" s="9"/>
      <c r="F85" s="10"/>
      <c r="G85" s="11"/>
      <c r="H85" s="11"/>
      <c r="I85" s="12">
        <f t="shared" si="38"/>
        <v>0</v>
      </c>
      <c r="J85" s="12">
        <f t="shared" si="39"/>
        <v>0</v>
      </c>
      <c r="K85" s="12">
        <f t="shared" si="40"/>
        <v>0</v>
      </c>
      <c r="L85" s="12">
        <f t="shared" si="41"/>
        <v>0</v>
      </c>
      <c r="M85" s="12">
        <f t="shared" si="42"/>
        <v>0</v>
      </c>
      <c r="N85" s="59"/>
      <c r="O85" s="59"/>
      <c r="P85" s="59"/>
      <c r="Q85" s="59"/>
      <c r="R85" s="59"/>
      <c r="S85" s="59"/>
      <c r="T85" s="59"/>
      <c r="U85" s="59"/>
      <c r="V85" s="59"/>
      <c r="W85" s="59"/>
      <c r="X85" s="59"/>
      <c r="Y85" s="98"/>
    </row>
    <row r="86" spans="1:25" s="60" customFormat="1" ht="14.25" customHeight="1" x14ac:dyDescent="0.35">
      <c r="A86" s="1"/>
      <c r="B86" s="97" t="s">
        <v>78</v>
      </c>
      <c r="C86" s="9"/>
      <c r="D86" s="9"/>
      <c r="E86" s="9"/>
      <c r="F86" s="10"/>
      <c r="G86" s="11"/>
      <c r="H86" s="11"/>
      <c r="I86" s="12">
        <f t="shared" si="38"/>
        <v>0</v>
      </c>
      <c r="J86" s="12">
        <f t="shared" si="39"/>
        <v>0</v>
      </c>
      <c r="K86" s="12">
        <f t="shared" si="40"/>
        <v>0</v>
      </c>
      <c r="L86" s="12">
        <f t="shared" si="41"/>
        <v>0</v>
      </c>
      <c r="M86" s="12">
        <f t="shared" si="42"/>
        <v>0</v>
      </c>
      <c r="N86" s="59"/>
      <c r="O86" s="59"/>
      <c r="P86" s="59"/>
      <c r="Q86" s="59"/>
      <c r="R86" s="59"/>
      <c r="S86" s="59"/>
      <c r="T86" s="59"/>
      <c r="U86" s="59"/>
      <c r="V86" s="59"/>
      <c r="W86" s="59"/>
      <c r="X86" s="59"/>
      <c r="Y86" s="98"/>
    </row>
    <row r="87" spans="1:25" s="60" customFormat="1" ht="14.25" customHeight="1" x14ac:dyDescent="0.35">
      <c r="A87" s="1"/>
      <c r="B87" s="97" t="s">
        <v>128</v>
      </c>
      <c r="C87" s="9"/>
      <c r="D87" s="9"/>
      <c r="E87" s="9"/>
      <c r="F87" s="10"/>
      <c r="G87" s="11"/>
      <c r="H87" s="11"/>
      <c r="I87" s="12">
        <f t="shared" si="38"/>
        <v>0</v>
      </c>
      <c r="J87" s="12">
        <f t="shared" si="39"/>
        <v>0</v>
      </c>
      <c r="K87" s="12">
        <f t="shared" si="40"/>
        <v>0</v>
      </c>
      <c r="L87" s="12">
        <f t="shared" si="41"/>
        <v>0</v>
      </c>
      <c r="M87" s="12">
        <f t="shared" si="42"/>
        <v>0</v>
      </c>
      <c r="N87" s="59"/>
      <c r="O87" s="59"/>
      <c r="P87" s="59"/>
      <c r="Q87" s="59"/>
      <c r="R87" s="59"/>
      <c r="S87" s="59"/>
      <c r="T87" s="59"/>
      <c r="U87" s="59"/>
      <c r="V87" s="59"/>
      <c r="W87" s="59"/>
      <c r="X87" s="59"/>
      <c r="Y87" s="98"/>
    </row>
    <row r="88" spans="1:25" s="60" customFormat="1" ht="14.25" customHeight="1" x14ac:dyDescent="0.35">
      <c r="A88" s="1"/>
      <c r="B88" s="97" t="s">
        <v>129</v>
      </c>
      <c r="C88" s="9"/>
      <c r="D88" s="9"/>
      <c r="E88" s="9"/>
      <c r="F88" s="10"/>
      <c r="G88" s="11"/>
      <c r="H88" s="11"/>
      <c r="I88" s="12">
        <f t="shared" si="38"/>
        <v>0</v>
      </c>
      <c r="J88" s="12">
        <f t="shared" si="39"/>
        <v>0</v>
      </c>
      <c r="K88" s="12">
        <f t="shared" si="40"/>
        <v>0</v>
      </c>
      <c r="L88" s="12">
        <f t="shared" si="41"/>
        <v>0</v>
      </c>
      <c r="M88" s="12">
        <f t="shared" si="42"/>
        <v>0</v>
      </c>
      <c r="N88" s="59"/>
      <c r="O88" s="59"/>
      <c r="P88" s="59"/>
      <c r="Q88" s="59"/>
      <c r="R88" s="59"/>
      <c r="S88" s="59"/>
      <c r="T88" s="59"/>
      <c r="U88" s="59"/>
      <c r="V88" s="59"/>
      <c r="W88" s="59"/>
      <c r="X88" s="59"/>
      <c r="Y88" s="98"/>
    </row>
    <row r="89" spans="1:25" s="18" customFormat="1" ht="15.5" x14ac:dyDescent="0.35">
      <c r="A89" s="1"/>
      <c r="B89" s="193" t="s">
        <v>79</v>
      </c>
      <c r="C89" s="137"/>
      <c r="D89" s="138"/>
      <c r="E89" s="6"/>
      <c r="F89" s="7"/>
      <c r="G89" s="8"/>
      <c r="H89" s="8">
        <f t="shared" ref="H89:Y89" si="48">SUM(H90:H101)</f>
        <v>1</v>
      </c>
      <c r="I89" s="8">
        <f t="shared" si="48"/>
        <v>1601</v>
      </c>
      <c r="J89" s="8">
        <f t="shared" si="48"/>
        <v>116.07249999999999</v>
      </c>
      <c r="K89" s="8">
        <f t="shared" si="48"/>
        <v>85.853625000000008</v>
      </c>
      <c r="L89" s="8">
        <f t="shared" si="48"/>
        <v>1802.926125</v>
      </c>
      <c r="M89" s="8">
        <f t="shared" si="48"/>
        <v>1802.926125</v>
      </c>
      <c r="N89" s="8">
        <f t="shared" si="48"/>
        <v>1802.926125</v>
      </c>
      <c r="O89" s="8">
        <f t="shared" si="48"/>
        <v>0</v>
      </c>
      <c r="P89" s="8">
        <f t="shared" si="48"/>
        <v>0</v>
      </c>
      <c r="Q89" s="8">
        <f t="shared" si="48"/>
        <v>0</v>
      </c>
      <c r="R89" s="8">
        <f t="shared" si="48"/>
        <v>0</v>
      </c>
      <c r="S89" s="8">
        <f t="shared" si="48"/>
        <v>0</v>
      </c>
      <c r="T89" s="8">
        <f t="shared" si="48"/>
        <v>0</v>
      </c>
      <c r="U89" s="8">
        <f t="shared" si="48"/>
        <v>0</v>
      </c>
      <c r="V89" s="8">
        <f t="shared" si="48"/>
        <v>0</v>
      </c>
      <c r="W89" s="8">
        <f t="shared" si="48"/>
        <v>0</v>
      </c>
      <c r="X89" s="8">
        <f t="shared" si="48"/>
        <v>0</v>
      </c>
      <c r="Y89" s="96">
        <f t="shared" si="48"/>
        <v>0</v>
      </c>
    </row>
    <row r="90" spans="1:25" s="60" customFormat="1" ht="14.25" customHeight="1" x14ac:dyDescent="0.35">
      <c r="A90" s="1"/>
      <c r="B90" s="97" t="s">
        <v>80</v>
      </c>
      <c r="C90" s="9" t="s">
        <v>101</v>
      </c>
      <c r="D90" s="9" t="s">
        <v>102</v>
      </c>
      <c r="E90" s="9" t="s">
        <v>108</v>
      </c>
      <c r="F90" s="10">
        <v>1</v>
      </c>
      <c r="G90" s="11">
        <v>1600</v>
      </c>
      <c r="H90" s="11">
        <v>1</v>
      </c>
      <c r="I90" s="12">
        <f t="shared" ref="I90:I101" si="49">(F90*G90)+H90</f>
        <v>1601</v>
      </c>
      <c r="J90" s="12">
        <f t="shared" ref="J90:J101" si="50">I90*$D$20</f>
        <v>116.07249999999999</v>
      </c>
      <c r="K90" s="12">
        <f t="shared" ref="K90:K101" si="51">SUM(I90:J90)*5%</f>
        <v>85.853625000000008</v>
      </c>
      <c r="L90" s="12">
        <f t="shared" ref="L90:L101" si="52">SUM(I90:K90)</f>
        <v>1802.926125</v>
      </c>
      <c r="M90" s="12">
        <f t="shared" ref="M90:M101" si="53">SUM(N90, O90,P90,Q90,R90,S90,T90,U90,V90,W90,X90,Y90)</f>
        <v>1802.926125</v>
      </c>
      <c r="N90" s="59">
        <f>L90</f>
        <v>1802.926125</v>
      </c>
      <c r="O90" s="59"/>
      <c r="P90" s="59"/>
      <c r="Q90" s="59"/>
      <c r="R90" s="59"/>
      <c r="S90" s="59"/>
      <c r="T90" s="59"/>
      <c r="U90" s="59"/>
      <c r="V90" s="59"/>
      <c r="W90" s="59"/>
      <c r="X90" s="59"/>
      <c r="Y90" s="98"/>
    </row>
    <row r="91" spans="1:25" s="60" customFormat="1" ht="14.25" customHeight="1" x14ac:dyDescent="0.35">
      <c r="A91" s="1"/>
      <c r="B91" s="97" t="s">
        <v>81</v>
      </c>
      <c r="C91" s="9"/>
      <c r="D91" s="9"/>
      <c r="E91" s="9"/>
      <c r="F91" s="10"/>
      <c r="G91" s="11"/>
      <c r="H91" s="11"/>
      <c r="I91" s="12">
        <f t="shared" si="49"/>
        <v>0</v>
      </c>
      <c r="J91" s="12">
        <f t="shared" si="50"/>
        <v>0</v>
      </c>
      <c r="K91" s="12">
        <f t="shared" si="51"/>
        <v>0</v>
      </c>
      <c r="L91" s="12">
        <f t="shared" si="52"/>
        <v>0</v>
      </c>
      <c r="M91" s="12">
        <f t="shared" si="53"/>
        <v>0</v>
      </c>
      <c r="N91" s="59"/>
      <c r="O91" s="59"/>
      <c r="P91" s="59"/>
      <c r="Q91" s="59"/>
      <c r="R91" s="59"/>
      <c r="S91" s="59"/>
      <c r="T91" s="59"/>
      <c r="U91" s="59"/>
      <c r="V91" s="59"/>
      <c r="W91" s="59"/>
      <c r="X91" s="59"/>
      <c r="Y91" s="98"/>
    </row>
    <row r="92" spans="1:25" s="60" customFormat="1" ht="14.25" customHeight="1" x14ac:dyDescent="0.35">
      <c r="A92" s="1"/>
      <c r="B92" s="97" t="s">
        <v>82</v>
      </c>
      <c r="C92" s="9"/>
      <c r="D92" s="9"/>
      <c r="E92" s="9"/>
      <c r="F92" s="10"/>
      <c r="G92" s="11"/>
      <c r="H92" s="11"/>
      <c r="I92" s="12">
        <f t="shared" si="49"/>
        <v>0</v>
      </c>
      <c r="J92" s="12">
        <f t="shared" si="50"/>
        <v>0</v>
      </c>
      <c r="K92" s="12">
        <f t="shared" si="51"/>
        <v>0</v>
      </c>
      <c r="L92" s="12">
        <f t="shared" si="52"/>
        <v>0</v>
      </c>
      <c r="M92" s="12">
        <f t="shared" si="53"/>
        <v>0</v>
      </c>
      <c r="N92" s="59"/>
      <c r="O92" s="59"/>
      <c r="P92" s="59"/>
      <c r="Q92" s="59"/>
      <c r="R92" s="59"/>
      <c r="S92" s="59"/>
      <c r="T92" s="59"/>
      <c r="U92" s="59"/>
      <c r="V92" s="59"/>
      <c r="W92" s="59"/>
      <c r="X92" s="59"/>
      <c r="Y92" s="98"/>
    </row>
    <row r="93" spans="1:25" s="60" customFormat="1" ht="14.25" customHeight="1" x14ac:dyDescent="0.35">
      <c r="A93" s="1"/>
      <c r="B93" s="97" t="s">
        <v>83</v>
      </c>
      <c r="C93" s="9"/>
      <c r="D93" s="9"/>
      <c r="E93" s="9"/>
      <c r="F93" s="10"/>
      <c r="G93" s="11"/>
      <c r="H93" s="11"/>
      <c r="I93" s="12">
        <f t="shared" si="49"/>
        <v>0</v>
      </c>
      <c r="J93" s="12">
        <f t="shared" si="50"/>
        <v>0</v>
      </c>
      <c r="K93" s="12">
        <f t="shared" si="51"/>
        <v>0</v>
      </c>
      <c r="L93" s="12">
        <f t="shared" si="52"/>
        <v>0</v>
      </c>
      <c r="M93" s="12">
        <f t="shared" si="53"/>
        <v>0</v>
      </c>
      <c r="N93" s="59"/>
      <c r="O93" s="59"/>
      <c r="P93" s="59"/>
      <c r="Q93" s="59"/>
      <c r="R93" s="59"/>
      <c r="S93" s="59"/>
      <c r="T93" s="59"/>
      <c r="U93" s="59"/>
      <c r="V93" s="59"/>
      <c r="W93" s="59"/>
      <c r="X93" s="59"/>
      <c r="Y93" s="98"/>
    </row>
    <row r="94" spans="1:25" s="60" customFormat="1" ht="14.25" customHeight="1" x14ac:dyDescent="0.35">
      <c r="A94" s="1"/>
      <c r="B94" s="97" t="s">
        <v>84</v>
      </c>
      <c r="C94" s="9"/>
      <c r="D94" s="9"/>
      <c r="E94" s="9"/>
      <c r="F94" s="10"/>
      <c r="G94" s="11"/>
      <c r="H94" s="11"/>
      <c r="I94" s="12">
        <f t="shared" si="49"/>
        <v>0</v>
      </c>
      <c r="J94" s="12">
        <f t="shared" si="50"/>
        <v>0</v>
      </c>
      <c r="K94" s="12">
        <f t="shared" si="51"/>
        <v>0</v>
      </c>
      <c r="L94" s="12">
        <f t="shared" si="52"/>
        <v>0</v>
      </c>
      <c r="M94" s="12">
        <f t="shared" si="53"/>
        <v>0</v>
      </c>
      <c r="N94" s="59"/>
      <c r="O94" s="59"/>
      <c r="P94" s="59"/>
      <c r="Q94" s="59"/>
      <c r="R94" s="59"/>
      <c r="S94" s="59"/>
      <c r="T94" s="59"/>
      <c r="U94" s="59"/>
      <c r="V94" s="59"/>
      <c r="W94" s="59"/>
      <c r="X94" s="59"/>
      <c r="Y94" s="98"/>
    </row>
    <row r="95" spans="1:25" s="60" customFormat="1" ht="14.25" customHeight="1" x14ac:dyDescent="0.35">
      <c r="A95" s="1"/>
      <c r="B95" s="97" t="s">
        <v>85</v>
      </c>
      <c r="C95" s="9"/>
      <c r="D95" s="9"/>
      <c r="E95" s="9"/>
      <c r="F95" s="10"/>
      <c r="G95" s="11"/>
      <c r="H95" s="11"/>
      <c r="I95" s="12">
        <f t="shared" ref="I95:I96" si="54">(F95*G95)+H95</f>
        <v>0</v>
      </c>
      <c r="J95" s="12">
        <f t="shared" ref="J95:J96" si="55">I95*$D$20</f>
        <v>0</v>
      </c>
      <c r="K95" s="12">
        <f t="shared" ref="K95:K96" si="56">SUM(I95:J95)*5%</f>
        <v>0</v>
      </c>
      <c r="L95" s="12">
        <f t="shared" ref="L95:L96" si="57">SUM(I95:K95)</f>
        <v>0</v>
      </c>
      <c r="M95" s="12">
        <f t="shared" ref="M95:M96" si="58">SUM(N95, O95,P95,Q95,R95,S95,T95,U95,V95,W95,X95,Y95)</f>
        <v>0</v>
      </c>
      <c r="N95" s="59"/>
      <c r="O95" s="59"/>
      <c r="P95" s="59"/>
      <c r="Q95" s="59"/>
      <c r="R95" s="59"/>
      <c r="S95" s="59"/>
      <c r="T95" s="59"/>
      <c r="U95" s="59"/>
      <c r="V95" s="59"/>
      <c r="W95" s="59"/>
      <c r="X95" s="59"/>
      <c r="Y95" s="98"/>
    </row>
    <row r="96" spans="1:25" s="60" customFormat="1" ht="14.25" customHeight="1" x14ac:dyDescent="0.35">
      <c r="A96" s="1"/>
      <c r="B96" s="97" t="s">
        <v>86</v>
      </c>
      <c r="C96" s="9"/>
      <c r="D96" s="9"/>
      <c r="E96" s="9"/>
      <c r="F96" s="10"/>
      <c r="G96" s="11"/>
      <c r="H96" s="11"/>
      <c r="I96" s="12">
        <f t="shared" si="54"/>
        <v>0</v>
      </c>
      <c r="J96" s="12">
        <f t="shared" si="55"/>
        <v>0</v>
      </c>
      <c r="K96" s="12">
        <f t="shared" si="56"/>
        <v>0</v>
      </c>
      <c r="L96" s="12">
        <f t="shared" si="57"/>
        <v>0</v>
      </c>
      <c r="M96" s="12">
        <f t="shared" si="58"/>
        <v>0</v>
      </c>
      <c r="N96" s="59"/>
      <c r="O96" s="59"/>
      <c r="P96" s="59"/>
      <c r="Q96" s="59"/>
      <c r="R96" s="59"/>
      <c r="S96" s="59"/>
      <c r="T96" s="59"/>
      <c r="U96" s="59"/>
      <c r="V96" s="59"/>
      <c r="W96" s="59"/>
      <c r="X96" s="59"/>
      <c r="Y96" s="98"/>
    </row>
    <row r="97" spans="1:25" s="60" customFormat="1" ht="14.25" customHeight="1" x14ac:dyDescent="0.35">
      <c r="A97" s="1"/>
      <c r="B97" s="97" t="s">
        <v>87</v>
      </c>
      <c r="C97" s="9"/>
      <c r="D97" s="9"/>
      <c r="E97" s="9"/>
      <c r="F97" s="10"/>
      <c r="G97" s="11"/>
      <c r="H97" s="11"/>
      <c r="I97" s="12">
        <f t="shared" si="49"/>
        <v>0</v>
      </c>
      <c r="J97" s="12">
        <f t="shared" si="50"/>
        <v>0</v>
      </c>
      <c r="K97" s="12">
        <f t="shared" si="51"/>
        <v>0</v>
      </c>
      <c r="L97" s="12">
        <f t="shared" si="52"/>
        <v>0</v>
      </c>
      <c r="M97" s="12">
        <f t="shared" si="53"/>
        <v>0</v>
      </c>
      <c r="N97" s="59"/>
      <c r="O97" s="59"/>
      <c r="P97" s="59"/>
      <c r="Q97" s="59"/>
      <c r="R97" s="59"/>
      <c r="S97" s="59"/>
      <c r="T97" s="59"/>
      <c r="U97" s="59"/>
      <c r="V97" s="59"/>
      <c r="W97" s="59"/>
      <c r="X97" s="59"/>
      <c r="Y97" s="98"/>
    </row>
    <row r="98" spans="1:25" s="60" customFormat="1" ht="14.25" customHeight="1" x14ac:dyDescent="0.35">
      <c r="A98" s="1"/>
      <c r="B98" s="97" t="s">
        <v>88</v>
      </c>
      <c r="C98" s="9"/>
      <c r="D98" s="9"/>
      <c r="E98" s="9"/>
      <c r="F98" s="10"/>
      <c r="G98" s="11"/>
      <c r="H98" s="11"/>
      <c r="I98" s="12">
        <f t="shared" si="49"/>
        <v>0</v>
      </c>
      <c r="J98" s="12">
        <f t="shared" si="50"/>
        <v>0</v>
      </c>
      <c r="K98" s="12">
        <f t="shared" si="51"/>
        <v>0</v>
      </c>
      <c r="L98" s="12">
        <f t="shared" si="52"/>
        <v>0</v>
      </c>
      <c r="M98" s="12">
        <f t="shared" si="53"/>
        <v>0</v>
      </c>
      <c r="N98" s="59"/>
      <c r="O98" s="59"/>
      <c r="P98" s="59"/>
      <c r="Q98" s="59"/>
      <c r="R98" s="59"/>
      <c r="S98" s="59"/>
      <c r="T98" s="59"/>
      <c r="U98" s="59"/>
      <c r="V98" s="59"/>
      <c r="W98" s="59"/>
      <c r="X98" s="59"/>
      <c r="Y98" s="98"/>
    </row>
    <row r="99" spans="1:25" s="60" customFormat="1" ht="14.25" customHeight="1" x14ac:dyDescent="0.35">
      <c r="A99" s="1"/>
      <c r="B99" s="97" t="s">
        <v>89</v>
      </c>
      <c r="C99" s="9"/>
      <c r="D99" s="9"/>
      <c r="E99" s="9"/>
      <c r="F99" s="10"/>
      <c r="G99" s="11"/>
      <c r="H99" s="11"/>
      <c r="I99" s="12">
        <f t="shared" si="49"/>
        <v>0</v>
      </c>
      <c r="J99" s="12">
        <f t="shared" si="50"/>
        <v>0</v>
      </c>
      <c r="K99" s="12">
        <f t="shared" si="51"/>
        <v>0</v>
      </c>
      <c r="L99" s="12">
        <f t="shared" si="52"/>
        <v>0</v>
      </c>
      <c r="M99" s="12">
        <f t="shared" si="53"/>
        <v>0</v>
      </c>
      <c r="N99" s="59"/>
      <c r="O99" s="59"/>
      <c r="P99" s="59"/>
      <c r="Q99" s="59"/>
      <c r="R99" s="59"/>
      <c r="S99" s="59"/>
      <c r="T99" s="59"/>
      <c r="U99" s="59"/>
      <c r="V99" s="59"/>
      <c r="W99" s="59"/>
      <c r="X99" s="59"/>
      <c r="Y99" s="98"/>
    </row>
    <row r="100" spans="1:25" s="60" customFormat="1" ht="14.25" customHeight="1" x14ac:dyDescent="0.35">
      <c r="A100" s="1"/>
      <c r="B100" s="97" t="s">
        <v>130</v>
      </c>
      <c r="C100" s="9"/>
      <c r="D100" s="9"/>
      <c r="E100" s="9"/>
      <c r="F100" s="10"/>
      <c r="G100" s="11"/>
      <c r="H100" s="11"/>
      <c r="I100" s="12">
        <f t="shared" ref="I100" si="59">(F100*G100)+H100</f>
        <v>0</v>
      </c>
      <c r="J100" s="12">
        <f t="shared" ref="J100" si="60">I100*$D$20</f>
        <v>0</v>
      </c>
      <c r="K100" s="12">
        <f t="shared" ref="K100" si="61">SUM(I100:J100)*5%</f>
        <v>0</v>
      </c>
      <c r="L100" s="12">
        <f t="shared" ref="L100" si="62">SUM(I100:K100)</f>
        <v>0</v>
      </c>
      <c r="M100" s="12">
        <f t="shared" ref="M100" si="63">SUM(N100, O100,P100,Q100,R100,S100,T100,U100,V100,W100,X100,Y100)</f>
        <v>0</v>
      </c>
      <c r="N100" s="59"/>
      <c r="O100" s="59"/>
      <c r="P100" s="59"/>
      <c r="Q100" s="59"/>
      <c r="R100" s="59"/>
      <c r="S100" s="59"/>
      <c r="T100" s="59"/>
      <c r="U100" s="59"/>
      <c r="V100" s="59"/>
      <c r="W100" s="59"/>
      <c r="X100" s="59"/>
      <c r="Y100" s="98"/>
    </row>
    <row r="101" spans="1:25" s="60" customFormat="1" ht="14.25" customHeight="1" x14ac:dyDescent="0.35">
      <c r="A101" s="1"/>
      <c r="B101" s="97" t="s">
        <v>131</v>
      </c>
      <c r="C101" s="9"/>
      <c r="D101" s="9"/>
      <c r="E101" s="9"/>
      <c r="F101" s="10"/>
      <c r="G101" s="11"/>
      <c r="H101" s="11"/>
      <c r="I101" s="12">
        <f t="shared" si="49"/>
        <v>0</v>
      </c>
      <c r="J101" s="12">
        <f t="shared" si="50"/>
        <v>0</v>
      </c>
      <c r="K101" s="12">
        <f t="shared" si="51"/>
        <v>0</v>
      </c>
      <c r="L101" s="12">
        <f t="shared" si="52"/>
        <v>0</v>
      </c>
      <c r="M101" s="12">
        <f t="shared" si="53"/>
        <v>0</v>
      </c>
      <c r="N101" s="59"/>
      <c r="O101" s="59"/>
      <c r="P101" s="59"/>
      <c r="Q101" s="59"/>
      <c r="R101" s="59"/>
      <c r="S101" s="59"/>
      <c r="T101" s="59"/>
      <c r="U101" s="59"/>
      <c r="V101" s="59"/>
      <c r="W101" s="59"/>
      <c r="X101" s="59"/>
      <c r="Y101" s="98"/>
    </row>
    <row r="102" spans="1:25" s="18" customFormat="1" ht="15.5" x14ac:dyDescent="0.35">
      <c r="A102" s="1"/>
      <c r="B102" s="193" t="s">
        <v>90</v>
      </c>
      <c r="C102" s="137"/>
      <c r="D102" s="138"/>
      <c r="E102" s="6"/>
      <c r="F102" s="7"/>
      <c r="G102" s="8"/>
      <c r="H102" s="8">
        <f t="shared" ref="H102:Y102" si="64">SUM(H103:H114)</f>
        <v>1</v>
      </c>
      <c r="I102" s="8">
        <f t="shared" si="64"/>
        <v>1601</v>
      </c>
      <c r="J102" s="8">
        <f t="shared" si="64"/>
        <v>116.07249999999999</v>
      </c>
      <c r="K102" s="8">
        <f t="shared" si="64"/>
        <v>85.853625000000008</v>
      </c>
      <c r="L102" s="8">
        <f t="shared" si="64"/>
        <v>1802.926125</v>
      </c>
      <c r="M102" s="8">
        <f t="shared" si="64"/>
        <v>1802.926125</v>
      </c>
      <c r="N102" s="8">
        <f t="shared" si="64"/>
        <v>1802.926125</v>
      </c>
      <c r="O102" s="8">
        <f t="shared" si="64"/>
        <v>0</v>
      </c>
      <c r="P102" s="8">
        <f t="shared" si="64"/>
        <v>0</v>
      </c>
      <c r="Q102" s="8">
        <f t="shared" si="64"/>
        <v>0</v>
      </c>
      <c r="R102" s="8">
        <f t="shared" si="64"/>
        <v>0</v>
      </c>
      <c r="S102" s="8">
        <f t="shared" si="64"/>
        <v>0</v>
      </c>
      <c r="T102" s="8">
        <f t="shared" si="64"/>
        <v>0</v>
      </c>
      <c r="U102" s="8">
        <f t="shared" si="64"/>
        <v>0</v>
      </c>
      <c r="V102" s="8">
        <f t="shared" si="64"/>
        <v>0</v>
      </c>
      <c r="W102" s="8">
        <f t="shared" si="64"/>
        <v>0</v>
      </c>
      <c r="X102" s="8">
        <f t="shared" si="64"/>
        <v>0</v>
      </c>
      <c r="Y102" s="96">
        <f t="shared" si="64"/>
        <v>0</v>
      </c>
    </row>
    <row r="103" spans="1:25" s="60" customFormat="1" ht="14.25" customHeight="1" x14ac:dyDescent="0.35">
      <c r="A103" s="1"/>
      <c r="B103" s="97" t="s">
        <v>91</v>
      </c>
      <c r="C103" s="9" t="s">
        <v>101</v>
      </c>
      <c r="D103" s="9" t="s">
        <v>102</v>
      </c>
      <c r="E103" s="9" t="s">
        <v>107</v>
      </c>
      <c r="F103" s="10">
        <v>1</v>
      </c>
      <c r="G103" s="11">
        <v>1600</v>
      </c>
      <c r="H103" s="11">
        <v>1</v>
      </c>
      <c r="I103" s="12">
        <f t="shared" ref="I103:I114" si="65">(F103*G103)+H103</f>
        <v>1601</v>
      </c>
      <c r="J103" s="12">
        <f t="shared" ref="J103:J114" si="66">I103*$D$20</f>
        <v>116.07249999999999</v>
      </c>
      <c r="K103" s="12">
        <f t="shared" ref="K103:K114" si="67">SUM(I103:J103)*5%</f>
        <v>85.853625000000008</v>
      </c>
      <c r="L103" s="12">
        <f t="shared" ref="L103:L114" si="68">SUM(I103:K103)</f>
        <v>1802.926125</v>
      </c>
      <c r="M103" s="12">
        <f t="shared" ref="M103:M114" si="69">SUM(N103, O103,P103,Q103,R103,S103,T103,U103,V103,W103,X103,Y103)</f>
        <v>1802.926125</v>
      </c>
      <c r="N103" s="59">
        <f>L103</f>
        <v>1802.926125</v>
      </c>
      <c r="O103" s="59"/>
      <c r="P103" s="59"/>
      <c r="Q103" s="59"/>
      <c r="R103" s="59"/>
      <c r="S103" s="59"/>
      <c r="T103" s="59"/>
      <c r="U103" s="59"/>
      <c r="V103" s="59"/>
      <c r="W103" s="59"/>
      <c r="X103" s="59"/>
      <c r="Y103" s="98"/>
    </row>
    <row r="104" spans="1:25" s="60" customFormat="1" ht="14.25" customHeight="1" x14ac:dyDescent="0.35">
      <c r="A104" s="1"/>
      <c r="B104" s="97" t="s">
        <v>92</v>
      </c>
      <c r="C104" s="9"/>
      <c r="D104" s="9"/>
      <c r="E104" s="9"/>
      <c r="F104" s="10"/>
      <c r="G104" s="11"/>
      <c r="H104" s="11"/>
      <c r="I104" s="12">
        <f t="shared" si="65"/>
        <v>0</v>
      </c>
      <c r="J104" s="12">
        <f t="shared" si="66"/>
        <v>0</v>
      </c>
      <c r="K104" s="12">
        <f t="shared" si="67"/>
        <v>0</v>
      </c>
      <c r="L104" s="12">
        <f t="shared" si="68"/>
        <v>0</v>
      </c>
      <c r="M104" s="12">
        <f t="shared" si="69"/>
        <v>0</v>
      </c>
      <c r="N104" s="59"/>
      <c r="O104" s="59"/>
      <c r="P104" s="59"/>
      <c r="Q104" s="59"/>
      <c r="R104" s="59"/>
      <c r="S104" s="59"/>
      <c r="T104" s="59"/>
      <c r="U104" s="59"/>
      <c r="V104" s="59"/>
      <c r="W104" s="59"/>
      <c r="X104" s="59"/>
      <c r="Y104" s="98"/>
    </row>
    <row r="105" spans="1:25" s="60" customFormat="1" ht="14.25" customHeight="1" x14ac:dyDescent="0.35">
      <c r="A105" s="1"/>
      <c r="B105" s="97" t="s">
        <v>93</v>
      </c>
      <c r="C105" s="9"/>
      <c r="D105" s="9"/>
      <c r="E105" s="9"/>
      <c r="F105" s="10"/>
      <c r="G105" s="11"/>
      <c r="H105" s="11"/>
      <c r="I105" s="12">
        <f t="shared" si="65"/>
        <v>0</v>
      </c>
      <c r="J105" s="12">
        <f t="shared" si="66"/>
        <v>0</v>
      </c>
      <c r="K105" s="12">
        <f t="shared" si="67"/>
        <v>0</v>
      </c>
      <c r="L105" s="12">
        <f t="shared" si="68"/>
        <v>0</v>
      </c>
      <c r="M105" s="12">
        <f t="shared" si="69"/>
        <v>0</v>
      </c>
      <c r="N105" s="59"/>
      <c r="O105" s="59"/>
      <c r="P105" s="59"/>
      <c r="Q105" s="59"/>
      <c r="R105" s="59"/>
      <c r="S105" s="59"/>
      <c r="T105" s="59"/>
      <c r="U105" s="59"/>
      <c r="V105" s="59"/>
      <c r="W105" s="59"/>
      <c r="X105" s="59"/>
      <c r="Y105" s="98"/>
    </row>
    <row r="106" spans="1:25" s="61" customFormat="1" ht="14.25" customHeight="1" x14ac:dyDescent="0.35">
      <c r="A106" s="1"/>
      <c r="B106" s="97" t="s">
        <v>94</v>
      </c>
      <c r="C106" s="9"/>
      <c r="D106" s="9"/>
      <c r="E106" s="9"/>
      <c r="F106" s="10"/>
      <c r="G106" s="11"/>
      <c r="H106" s="11"/>
      <c r="I106" s="12">
        <f t="shared" si="65"/>
        <v>0</v>
      </c>
      <c r="J106" s="12">
        <f t="shared" si="66"/>
        <v>0</v>
      </c>
      <c r="K106" s="12">
        <f t="shared" si="67"/>
        <v>0</v>
      </c>
      <c r="L106" s="12">
        <f t="shared" si="68"/>
        <v>0</v>
      </c>
      <c r="M106" s="12">
        <f t="shared" si="69"/>
        <v>0</v>
      </c>
      <c r="N106" s="59"/>
      <c r="O106" s="59"/>
      <c r="P106" s="59"/>
      <c r="Q106" s="59"/>
      <c r="R106" s="59"/>
      <c r="S106" s="59"/>
      <c r="T106" s="59"/>
      <c r="U106" s="59"/>
      <c r="V106" s="59"/>
      <c r="W106" s="59"/>
      <c r="X106" s="59"/>
      <c r="Y106" s="98"/>
    </row>
    <row r="107" spans="1:25" s="60" customFormat="1" ht="14.25" customHeight="1" x14ac:dyDescent="0.35">
      <c r="A107" s="1"/>
      <c r="B107" s="97" t="s">
        <v>95</v>
      </c>
      <c r="C107" s="9"/>
      <c r="D107" s="9"/>
      <c r="E107" s="9"/>
      <c r="F107" s="10"/>
      <c r="G107" s="11"/>
      <c r="H107" s="11"/>
      <c r="I107" s="12">
        <f t="shared" si="65"/>
        <v>0</v>
      </c>
      <c r="J107" s="12">
        <f t="shared" si="66"/>
        <v>0</v>
      </c>
      <c r="K107" s="12">
        <f t="shared" si="67"/>
        <v>0</v>
      </c>
      <c r="L107" s="12">
        <f t="shared" si="68"/>
        <v>0</v>
      </c>
      <c r="M107" s="12">
        <f t="shared" si="69"/>
        <v>0</v>
      </c>
      <c r="N107" s="59"/>
      <c r="O107" s="59"/>
      <c r="P107" s="59"/>
      <c r="Q107" s="59"/>
      <c r="R107" s="59"/>
      <c r="S107" s="59"/>
      <c r="T107" s="59"/>
      <c r="U107" s="59"/>
      <c r="V107" s="59"/>
      <c r="W107" s="59"/>
      <c r="X107" s="59"/>
      <c r="Y107" s="98"/>
    </row>
    <row r="108" spans="1:25" s="60" customFormat="1" ht="14.25" customHeight="1" x14ac:dyDescent="0.35">
      <c r="A108" s="1"/>
      <c r="B108" s="97" t="s">
        <v>96</v>
      </c>
      <c r="C108" s="9"/>
      <c r="D108" s="9"/>
      <c r="E108" s="9"/>
      <c r="F108" s="10"/>
      <c r="G108" s="11"/>
      <c r="H108" s="11"/>
      <c r="I108" s="12">
        <f t="shared" ref="I108:I109" si="70">(F108*G108)+H108</f>
        <v>0</v>
      </c>
      <c r="J108" s="12">
        <f t="shared" ref="J108:J109" si="71">I108*$D$20</f>
        <v>0</v>
      </c>
      <c r="K108" s="12">
        <f t="shared" ref="K108:K109" si="72">SUM(I108:J108)*5%</f>
        <v>0</v>
      </c>
      <c r="L108" s="12">
        <f t="shared" ref="L108:L109" si="73">SUM(I108:K108)</f>
        <v>0</v>
      </c>
      <c r="M108" s="12">
        <f t="shared" ref="M108:M109" si="74">SUM(N108, O108,P108,Q108,R108,S108,T108,U108,V108,W108,X108,Y108)</f>
        <v>0</v>
      </c>
      <c r="N108" s="59"/>
      <c r="O108" s="59"/>
      <c r="P108" s="59"/>
      <c r="Q108" s="59"/>
      <c r="R108" s="59"/>
      <c r="S108" s="59"/>
      <c r="T108" s="59"/>
      <c r="U108" s="59"/>
      <c r="V108" s="59"/>
      <c r="W108" s="59"/>
      <c r="X108" s="59"/>
      <c r="Y108" s="98"/>
    </row>
    <row r="109" spans="1:25" s="60" customFormat="1" ht="14.25" customHeight="1" x14ac:dyDescent="0.35">
      <c r="A109" s="1"/>
      <c r="B109" s="97" t="s">
        <v>97</v>
      </c>
      <c r="C109" s="9"/>
      <c r="D109" s="9"/>
      <c r="E109" s="9"/>
      <c r="F109" s="10"/>
      <c r="G109" s="11"/>
      <c r="H109" s="11"/>
      <c r="I109" s="12">
        <f t="shared" si="70"/>
        <v>0</v>
      </c>
      <c r="J109" s="12">
        <f t="shared" si="71"/>
        <v>0</v>
      </c>
      <c r="K109" s="12">
        <f t="shared" si="72"/>
        <v>0</v>
      </c>
      <c r="L109" s="12">
        <f t="shared" si="73"/>
        <v>0</v>
      </c>
      <c r="M109" s="12">
        <f t="shared" si="74"/>
        <v>0</v>
      </c>
      <c r="N109" s="59"/>
      <c r="O109" s="59"/>
      <c r="P109" s="59"/>
      <c r="Q109" s="59"/>
      <c r="R109" s="59"/>
      <c r="S109" s="59"/>
      <c r="T109" s="59"/>
      <c r="U109" s="59"/>
      <c r="V109" s="59"/>
      <c r="W109" s="59"/>
      <c r="X109" s="59"/>
      <c r="Y109" s="98"/>
    </row>
    <row r="110" spans="1:25" s="60" customFormat="1" ht="14.25" customHeight="1" x14ac:dyDescent="0.35">
      <c r="A110" s="1"/>
      <c r="B110" s="97" t="s">
        <v>98</v>
      </c>
      <c r="C110" s="9"/>
      <c r="D110" s="9"/>
      <c r="E110" s="9"/>
      <c r="F110" s="10"/>
      <c r="G110" s="11"/>
      <c r="H110" s="11"/>
      <c r="I110" s="12">
        <f t="shared" si="65"/>
        <v>0</v>
      </c>
      <c r="J110" s="12">
        <f t="shared" si="66"/>
        <v>0</v>
      </c>
      <c r="K110" s="12">
        <f t="shared" si="67"/>
        <v>0</v>
      </c>
      <c r="L110" s="12">
        <f t="shared" si="68"/>
        <v>0</v>
      </c>
      <c r="M110" s="12">
        <f t="shared" si="69"/>
        <v>0</v>
      </c>
      <c r="N110" s="59"/>
      <c r="O110" s="59"/>
      <c r="P110" s="59"/>
      <c r="Q110" s="59"/>
      <c r="R110" s="59"/>
      <c r="S110" s="59"/>
      <c r="T110" s="59"/>
      <c r="U110" s="59"/>
      <c r="V110" s="59"/>
      <c r="W110" s="59"/>
      <c r="X110" s="59"/>
      <c r="Y110" s="98"/>
    </row>
    <row r="111" spans="1:25" s="60" customFormat="1" ht="14.25" customHeight="1" x14ac:dyDescent="0.35">
      <c r="A111" s="1"/>
      <c r="B111" s="97" t="s">
        <v>99</v>
      </c>
      <c r="C111" s="9"/>
      <c r="D111" s="9"/>
      <c r="E111" s="9"/>
      <c r="F111" s="10"/>
      <c r="G111" s="11"/>
      <c r="H111" s="11"/>
      <c r="I111" s="12">
        <f t="shared" si="65"/>
        <v>0</v>
      </c>
      <c r="J111" s="12">
        <f t="shared" si="66"/>
        <v>0</v>
      </c>
      <c r="K111" s="12">
        <f t="shared" si="67"/>
        <v>0</v>
      </c>
      <c r="L111" s="12">
        <f t="shared" si="68"/>
        <v>0</v>
      </c>
      <c r="M111" s="12">
        <f t="shared" si="69"/>
        <v>0</v>
      </c>
      <c r="N111" s="59"/>
      <c r="O111" s="59"/>
      <c r="P111" s="59"/>
      <c r="Q111" s="59"/>
      <c r="R111" s="59"/>
      <c r="S111" s="59"/>
      <c r="T111" s="59"/>
      <c r="U111" s="59"/>
      <c r="V111" s="59"/>
      <c r="W111" s="59"/>
      <c r="X111" s="59"/>
      <c r="Y111" s="98"/>
    </row>
    <row r="112" spans="1:25" s="60" customFormat="1" ht="14.25" customHeight="1" x14ac:dyDescent="0.35">
      <c r="A112" s="1"/>
      <c r="B112" s="97" t="s">
        <v>100</v>
      </c>
      <c r="C112" s="9"/>
      <c r="D112" s="9"/>
      <c r="E112" s="9"/>
      <c r="F112" s="10"/>
      <c r="G112" s="11"/>
      <c r="H112" s="11"/>
      <c r="I112" s="12">
        <f t="shared" si="65"/>
        <v>0</v>
      </c>
      <c r="J112" s="12">
        <f t="shared" si="66"/>
        <v>0</v>
      </c>
      <c r="K112" s="12">
        <f t="shared" si="67"/>
        <v>0</v>
      </c>
      <c r="L112" s="12">
        <f t="shared" si="68"/>
        <v>0</v>
      </c>
      <c r="M112" s="12">
        <f t="shared" si="69"/>
        <v>0</v>
      </c>
      <c r="N112" s="59"/>
      <c r="O112" s="59"/>
      <c r="P112" s="59"/>
      <c r="Q112" s="59"/>
      <c r="R112" s="59"/>
      <c r="S112" s="59"/>
      <c r="T112" s="59"/>
      <c r="U112" s="59"/>
      <c r="V112" s="59"/>
      <c r="W112" s="59"/>
      <c r="X112" s="59"/>
      <c r="Y112" s="98"/>
    </row>
    <row r="113" spans="1:25" s="60" customFormat="1" ht="14.25" customHeight="1" x14ac:dyDescent="0.35">
      <c r="A113" s="1"/>
      <c r="B113" s="97" t="s">
        <v>132</v>
      </c>
      <c r="C113" s="9"/>
      <c r="D113" s="9"/>
      <c r="E113" s="9"/>
      <c r="F113" s="10"/>
      <c r="G113" s="11"/>
      <c r="H113" s="11"/>
      <c r="I113" s="12">
        <f t="shared" si="65"/>
        <v>0</v>
      </c>
      <c r="J113" s="12">
        <f t="shared" si="66"/>
        <v>0</v>
      </c>
      <c r="K113" s="12">
        <f t="shared" si="67"/>
        <v>0</v>
      </c>
      <c r="L113" s="12">
        <f t="shared" si="68"/>
        <v>0</v>
      </c>
      <c r="M113" s="12">
        <f t="shared" si="69"/>
        <v>0</v>
      </c>
      <c r="N113" s="59"/>
      <c r="O113" s="59"/>
      <c r="P113" s="59"/>
      <c r="Q113" s="59"/>
      <c r="R113" s="59"/>
      <c r="S113" s="59"/>
      <c r="T113" s="59"/>
      <c r="U113" s="59"/>
      <c r="V113" s="59"/>
      <c r="W113" s="59"/>
      <c r="X113" s="59"/>
      <c r="Y113" s="98"/>
    </row>
    <row r="114" spans="1:25" s="60" customFormat="1" ht="14.25" customHeight="1" x14ac:dyDescent="0.35">
      <c r="A114" s="1"/>
      <c r="B114" s="97" t="s">
        <v>133</v>
      </c>
      <c r="C114" s="9"/>
      <c r="D114" s="9"/>
      <c r="E114" s="9"/>
      <c r="F114" s="10"/>
      <c r="G114" s="11"/>
      <c r="H114" s="11"/>
      <c r="I114" s="12">
        <f t="shared" si="65"/>
        <v>0</v>
      </c>
      <c r="J114" s="12">
        <f t="shared" si="66"/>
        <v>0</v>
      </c>
      <c r="K114" s="12">
        <f t="shared" si="67"/>
        <v>0</v>
      </c>
      <c r="L114" s="12">
        <f t="shared" si="68"/>
        <v>0</v>
      </c>
      <c r="M114" s="12">
        <f t="shared" si="69"/>
        <v>0</v>
      </c>
      <c r="N114" s="59"/>
      <c r="O114" s="59"/>
      <c r="P114" s="59"/>
      <c r="Q114" s="59"/>
      <c r="R114" s="59"/>
      <c r="S114" s="59"/>
      <c r="T114" s="59"/>
      <c r="U114" s="59"/>
      <c r="V114" s="59"/>
      <c r="W114" s="59"/>
      <c r="X114" s="59"/>
      <c r="Y114" s="98"/>
    </row>
    <row r="115" spans="1:25" s="18" customFormat="1" ht="15.5" x14ac:dyDescent="0.35">
      <c r="A115" s="1"/>
      <c r="B115" s="154" t="s">
        <v>113</v>
      </c>
      <c r="C115" s="212"/>
      <c r="D115" s="213"/>
      <c r="E115" s="31"/>
      <c r="F115" s="32"/>
      <c r="G115" s="33"/>
      <c r="H115" s="33">
        <f>SUMIF($E$38:$E$49:$E$51:$E$62:$E$64:$E$75:$E$77:$E$88:$E$90:$E$101:$E$103:$E$114,"QA",H$38:H$49:H$51:H$62:H$64:H$75:H$77:H$88:H$90:H$101:H$103:H$114)</f>
        <v>2</v>
      </c>
      <c r="I115" s="33">
        <f>SUMIF($E$38:$E$49:$E$51:$E$62:$E$64:$E$75:$E$77:$E$88:$E$90:$E$101:$E$103:$E$114,"QA",I$38:I$49:I$51:I$62:I$64:I$75:I$77:I$88:I$90:I$101:I$103:I$114)</f>
        <v>13752</v>
      </c>
      <c r="J115" s="33">
        <f>SUMIF($E$38:$E$49:$E$51:$E$62:$E$64:$E$75:$E$77:$E$88:$E$90:$E$101:$E$103:$E$114,"QA",J$38:J$49:J$51:J$62:J$64:J$75:J$77:J$88:J$90:J$101:J$103:J$114)</f>
        <v>997.02</v>
      </c>
      <c r="K115" s="33">
        <f>SUMIF($E$38:$E$49:$E$51:$E$62:$E$64:$E$75:$E$77:$E$88:$E$90:$E$101:$E$103:$E$114,"QA",K$38:K$49:K$51:K$62:K$64:K$75:K$77:K$88:K$90:K$101:K$103:K$114)</f>
        <v>737.45100000000002</v>
      </c>
      <c r="L115" s="33">
        <f>SUMIF($E$38:$E$49:$E$51:$E$62:$E$64:$E$75:$E$77:$E$88:$E$90:$E$101:$E$103:$E$114,"QA",L$38:L$49:L$51:L$62:L$64:L$75:L$77:L$88:L$90:L$101:L$103:L$114)</f>
        <v>15486.471</v>
      </c>
      <c r="M115" s="33">
        <f>SUMIF($E$38:$E$49:$E$51:$E$62:$E$64:$E$75:$E$77:$E$88:$E$90:$E$101:$E$103:$E$114,"QA",M$38:M$49:M$51:M$62:M$64:M$75:M$77:M$88:M$90:M$101:M$103:M$114)</f>
        <v>15486.471</v>
      </c>
      <c r="N115" s="33">
        <f>SUMIF($E$38:$E$49:$E$51:$E$62:$E$64:$E$75:$E$77:$E$88:$E$90:$E$101:$E$103:$E$114,"QA",N$38:N$49:N$51:N$62:N$64:N$75:N$77:N$88:N$90:N$101:N$103:N$114)</f>
        <v>15486.471</v>
      </c>
      <c r="O115" s="33">
        <f>SUMIF($E$38:$E$49:$E$51:$E$62:$E$64:$E$75:$E$77:$E$88:$E$90:$E$101:$E$103:$E$114,"QA",O$38:O$49:O$51:O$62:O$64:O$75:O$77:O$88:O$90:O$101:O$103:O$114)</f>
        <v>0</v>
      </c>
      <c r="P115" s="33">
        <f>SUMIF($E$38:$E$49:$E$51:$E$62:$E$64:$E$75:$E$77:$E$88:$E$90:$E$101:$E$103:$E$114,"QA",P$38:P$49:P$51:P$62:P$64:P$75:P$77:P$88:P$90:P$101:P$103:P$114)</f>
        <v>0</v>
      </c>
      <c r="Q115" s="33">
        <f>SUMIF($E$38:$E$49:$E$51:$E$62:$E$64:$E$75:$E$77:$E$88:$E$90:$E$101:$E$103:$E$114,"QA",Q$38:Q$49:Q$51:Q$62:Q$64:Q$75:Q$77:Q$88:Q$90:Q$101:Q$103:Q$114)</f>
        <v>0</v>
      </c>
      <c r="R115" s="33">
        <f>SUMIF($E$38:$E$49:$E$51:$E$62:$E$64:$E$75:$E$77:$E$88:$E$90:$E$101:$E$103:$E$114,"QA",R$38:R$49:R$51:R$62:R$64:R$75:R$77:R$88:R$90:R$101:R$103:R$114)</f>
        <v>0</v>
      </c>
      <c r="S115" s="33">
        <f>SUMIF($E$38:$E$49:$E$51:$E$62:$E$64:$E$75:$E$77:$E$88:$E$90:$E$101:$E$103:$E$114,"QA",S$38:S$49:S$51:S$62:S$64:S$75:S$77:S$88:S$90:S$101:S$103:S$114)</f>
        <v>0</v>
      </c>
      <c r="T115" s="33">
        <f>SUMIF($E$38:$E$49:$E$51:$E$62:$E$64:$E$75:$E$77:$E$88:$E$90:$E$101:$E$103:$E$114,"QA",T$38:T$49:T$51:T$62:T$64:T$75:T$77:T$88:T$90:T$101:T$103:T$114)</f>
        <v>0</v>
      </c>
      <c r="U115" s="33">
        <f>SUMIF($E$38:$E$49:$E$51:$E$62:$E$64:$E$75:$E$77:$E$88:$E$90:$E$101:$E$103:$E$114,"QA",U$38:U$49:U$51:U$62:U$64:U$75:U$77:U$88:U$90:U$101:U$103:U$114)</f>
        <v>0</v>
      </c>
      <c r="V115" s="33">
        <f>SUMIF($E$38:$E$49:$E$51:$E$62:$E$64:$E$75:$E$77:$E$88:$E$90:$E$101:$E$103:$E$114,"QA",V$38:V$49:V$51:V$62:V$64:V$75:V$77:V$88:V$90:V$101:V$103:V$114)</f>
        <v>0</v>
      </c>
      <c r="W115" s="33">
        <f>SUMIF($E$38:$E$49:$E$51:$E$62:$E$64:$E$75:$E$77:$E$88:$E$90:$E$101:$E$103:$E$114,"QA",W$38:W$49:W$51:W$62:W$64:W$75:W$77:W$88:W$90:W$101:W$103:W$114)</f>
        <v>0</v>
      </c>
      <c r="X115" s="33">
        <f>SUMIF($E$38:$E$49:$E$51:$E$62:$E$64:$E$75:$E$77:$E$88:$E$90:$E$101:$E$103:$E$114,"QA",X$38:X$49:X$51:X$62:X$64:X$75:X$77:X$88:X$90:X$101:X$103:X$114)</f>
        <v>0</v>
      </c>
      <c r="Y115" s="99">
        <f>SUMIF($E$38:$E$49:$E$51:$E$62:$E$64:$E$75:$E$77:$E$88:$E$90:$E$101:$E$103:$E$114,"QA",Y$38:Y$49:Y$51:Y$62:Y$64:Y$75:Y$77:Y$88:Y$90:Y$101:Y$103:Y$114)</f>
        <v>0</v>
      </c>
    </row>
    <row r="116" spans="1:25" s="18" customFormat="1" ht="15.5" x14ac:dyDescent="0.35">
      <c r="A116" s="1"/>
      <c r="B116" s="157" t="s">
        <v>117</v>
      </c>
      <c r="C116" s="216"/>
      <c r="D116" s="217"/>
      <c r="E116" s="34"/>
      <c r="F116" s="35"/>
      <c r="G116" s="36"/>
      <c r="H116" s="36">
        <f>SUMIF($E$38:$E$49:$E$51:$E$62:$E$64:$E$75:$E$77:$E$88:$E$90:$E$101:$E$103:$E$114,"PIP",H$38:H$49:H$51:H$62:H$64:H$75:H$77:H$88:H$90:H$101:H$103:H$114)</f>
        <v>2</v>
      </c>
      <c r="I116" s="36">
        <f>SUMIF($E$38:$E$49:$E$51:$E$62:$E$64:$E$75:$E$77:$E$88:$E$90:$E$101:$E$103:$E$114,"PIP",I$38:I$49:I$51:I$62:I$64:I$75:I$77:I$88:I$90:I$101:I$103:I$114)</f>
        <v>8002</v>
      </c>
      <c r="J116" s="36">
        <f>SUMIF($E$38:$E$49:$E$51:$E$62:$E$64:$E$75:$E$77:$E$88:$E$90:$E$101:$E$103:$E$114,"PIP",J$38:J$49:J$51:J$62:J$64:J$75:J$77:J$88:J$90:J$101:J$103:J$114)</f>
        <v>580.14499999999998</v>
      </c>
      <c r="K116" s="36">
        <f>SUMIF($E$38:$E$49:$E$51:$E$62:$E$64:$E$75:$E$77:$E$88:$E$90:$E$101:$E$103:$E$114,"PIP",K$38:K$49:K$51:K$62:K$64:K$75:K$77:K$88:K$90:K$101:K$103:K$114)</f>
        <v>429.10725000000008</v>
      </c>
      <c r="L116" s="36">
        <f>SUMIF($E$38:$E$49:$E$51:$E$62:$E$64:$E$75:$E$77:$E$88:$E$90:$E$101:$E$103:$E$114,"PIP",L$38:L$49:L$51:L$62:L$64:L$75:L$77:L$88:L$90:L$101:L$103:L$114)</f>
        <v>9011.2522500000014</v>
      </c>
      <c r="M116" s="36">
        <f>SUMIF($E$38:$E$49:$E$51:$E$62:$E$64:$E$75:$E$77:$E$88:$E$90:$E$101:$E$103:$E$114,"PIP",M$38:M$49:M$51:M$62:M$64:M$75:M$77:M$88:M$90:M$101:M$103:M$114)</f>
        <v>9011.2522500000014</v>
      </c>
      <c r="N116" s="36">
        <f>SUMIF($E$38:$E$49:$E$51:$E$62:$E$64:$E$75:$E$77:$E$88:$E$90:$E$101:$E$103:$E$114,"PIP",N$38:N$49:N$51:N$62:N$64:N$75:N$77:N$88:N$90:N$101:N$103:N$114)</f>
        <v>9011.2522500000014</v>
      </c>
      <c r="O116" s="36">
        <f>SUMIF($E$38:$E$49:$E$51:$E$62:$E$64:$E$75:$E$77:$E$88:$E$90:$E$101:$E$103:$E$114,"PIP",O$38:O$49:O$51:O$62:O$64:O$75:O$77:O$88:O$90:O$101:O$103:O$114)</f>
        <v>0</v>
      </c>
      <c r="P116" s="36">
        <f>SUMIF($E$38:$E$49:$E$51:$E$62:$E$64:$E$75:$E$77:$E$88:$E$90:$E$101:$E$103:$E$114,"PIP",P$38:P$49:P$51:P$62:P$64:P$75:P$77:P$88:P$90:P$101:P$103:P$114)</f>
        <v>0</v>
      </c>
      <c r="Q116" s="36">
        <f>SUMIF($E$38:$E$49:$E$51:$E$62:$E$64:$E$75:$E$77:$E$88:$E$90:$E$101:$E$103:$E$114,"PIP",Q$38:Q$49:Q$51:Q$62:Q$64:Q$75:Q$77:Q$88:Q$90:Q$101:Q$103:Q$114)</f>
        <v>0</v>
      </c>
      <c r="R116" s="36">
        <f>SUMIF($E$38:$E$49:$E$51:$E$62:$E$64:$E$75:$E$77:$E$88:$E$90:$E$101:$E$103:$E$114,"PIP",R$38:R$49:R$51:R$62:R$64:R$75:R$77:R$88:R$90:R$101:R$103:R$114)</f>
        <v>0</v>
      </c>
      <c r="S116" s="36">
        <f>SUMIF($E$38:$E$49:$E$51:$E$62:$E$64:$E$75:$E$77:$E$88:$E$90:$E$101:$E$103:$E$114,"PIP",S$38:S$49:S$51:S$62:S$64:S$75:S$77:S$88:S$90:S$101:S$103:S$114)</f>
        <v>0</v>
      </c>
      <c r="T116" s="36">
        <f>SUMIF($E$38:$E$49:$E$51:$E$62:$E$64:$E$75:$E$77:$E$88:$E$90:$E$101:$E$103:$E$114,"PIP",T$38:T$49:T$51:T$62:T$64:T$75:T$77:T$88:T$90:T$101:T$103:T$114)</f>
        <v>0</v>
      </c>
      <c r="U116" s="36">
        <f>SUMIF($E$38:$E$49:$E$51:$E$62:$E$64:$E$75:$E$77:$E$88:$E$90:$E$101:$E$103:$E$114,"PIP",U$38:U$49:U$51:U$62:U$64:U$75:U$77:U$88:U$90:U$101:U$103:U$114)</f>
        <v>0</v>
      </c>
      <c r="V116" s="36">
        <f>SUMIF($E$38:$E$49:$E$51:$E$62:$E$64:$E$75:$E$77:$E$88:$E$90:$E$101:$E$103:$E$114,"PIP",V$38:V$49:V$51:V$62:V$64:V$75:V$77:V$88:V$90:V$101:V$103:V$114)</f>
        <v>0</v>
      </c>
      <c r="W116" s="36">
        <f>SUMIF($E$38:$E$49:$E$51:$E$62:$E$64:$E$75:$E$77:$E$88:$E$90:$E$101:$E$103:$E$114,"PIP",W$38:W$49:W$51:W$62:W$64:W$75:W$77:W$88:W$90:W$101:W$103:W$114)</f>
        <v>0</v>
      </c>
      <c r="X116" s="36">
        <f>SUMIF($E$38:$E$49:$E$51:$E$62:$E$64:$E$75:$E$77:$E$88:$E$90:$E$101:$E$103:$E$114,"PIP",X$38:X$49:X$51:X$62:X$64:X$75:X$77:X$88:X$90:X$101:X$103:X$114)</f>
        <v>0</v>
      </c>
      <c r="Y116" s="100">
        <f>SUMIF($E$38:$E$49:$E$51:$E$62:$E$64:$E$75:$E$77:$E$88:$E$90:$E$101:$E$103:$E$114,"PIP",Y$38:Y$49:Y$51:Y$62:Y$64:Y$75:Y$77:Y$88:Y$90:Y$101:Y$103:Y$114)</f>
        <v>0</v>
      </c>
    </row>
    <row r="117" spans="1:25" s="18" customFormat="1" ht="15.5" x14ac:dyDescent="0.35">
      <c r="A117" s="1"/>
      <c r="B117" s="145" t="s">
        <v>114</v>
      </c>
      <c r="C117" s="218"/>
      <c r="D117" s="219"/>
      <c r="E117" s="37"/>
      <c r="F117" s="38"/>
      <c r="G117" s="39"/>
      <c r="H117" s="39">
        <f>SUMIF($E$38:$E$49:$E$51:$E$62:$E$64:$E$75:$E$77:$E$88:$E$90:$E$101:$E$103:$E$114,"PCA",H$38:H$49:H$51:H$62:H$64:H$75:H$77:H$88:H$90:H$101:H$103:H$114)</f>
        <v>1</v>
      </c>
      <c r="I117" s="39">
        <f>SUMIF($E$38:$E$49:$E$51:$E$62:$E$64:$E$75:$E$77:$E$88:$E$90:$E$101:$E$103:$E$114,"PCA",I$38:I$49:I$51:I$62:I$64:I$75:I$77:I$88:I$90:I$101:I$103:I$114)</f>
        <v>601</v>
      </c>
      <c r="J117" s="39">
        <f>SUMIF($E$38:$E$49:$E$51:$E$62:$E$64:$E$75:$E$77:$E$88:$E$90:$E$101:$E$103:$E$114,"PCA",J$38:J$49:J$51:J$62:J$64:J$75:J$77:J$88:J$90:J$101:J$103:J$114)</f>
        <v>43.572499999999998</v>
      </c>
      <c r="K117" s="39">
        <f>SUMIF($E$38:$E$49:$E$51:$E$62:$E$64:$E$75:$E$77:$E$88:$E$90:$E$101:$E$103:$E$114,"PCA",K$38:K$49:K$51:K$62:K$64:K$75:K$77:K$88:K$90:K$101:K$103:K$114)</f>
        <v>32.228625000000001</v>
      </c>
      <c r="L117" s="39">
        <f>SUMIF($E$38:$E$49:$E$51:$E$62:$E$64:$E$75:$E$77:$E$88:$E$90:$E$101:$E$103:$E$114,"PCA",L$38:L$49:L$51:L$62:L$64:L$75:L$77:L$88:L$90:L$101:L$103:L$114)</f>
        <v>676.80112499999996</v>
      </c>
      <c r="M117" s="39">
        <f>SUMIF($E$38:$E$49:$E$51:$E$62:$E$64:$E$75:$E$77:$E$88:$E$90:$E$101:$E$103:$E$114,"PCA",M$38:M$49:M$51:M$62:M$64:M$75:M$77:M$88:M$90:M$101:M$103:M$114)</f>
        <v>676.80112499999996</v>
      </c>
      <c r="N117" s="39">
        <f>SUMIF($E$38:$E$49:$E$51:$E$62:$E$64:$E$75:$E$77:$E$88:$E$90:$E$101:$E$103:$E$114,"PCA",N$38:N$49:N$51:N$62:N$64:N$75:N$77:N$88:N$90:N$101:N$103:N$114)</f>
        <v>676.80112499999996</v>
      </c>
      <c r="O117" s="39">
        <f>SUMIF($E$38:$E$49:$E$51:$E$62:$E$64:$E$75:$E$77:$E$88:$E$90:$E$101:$E$103:$E$114,"PCA",O$38:O$49:O$51:O$62:O$64:O$75:O$77:O$88:O$90:O$101:O$103:O$114)</f>
        <v>0</v>
      </c>
      <c r="P117" s="39">
        <f>SUMIF($E$38:$E$49:$E$51:$E$62:$E$64:$E$75:$E$77:$E$88:$E$90:$E$101:$E$103:$E$114,"PCA",P$38:P$49:P$51:P$62:P$64:P$75:P$77:P$88:P$90:P$101:P$103:P$114)</f>
        <v>0</v>
      </c>
      <c r="Q117" s="39">
        <f>SUMIF($E$38:$E$49:$E$51:$E$62:$E$64:$E$75:$E$77:$E$88:$E$90:$E$101:$E$103:$E$114,"PCA",Q$38:Q$49:Q$51:Q$62:Q$64:Q$75:Q$77:Q$88:Q$90:Q$101:Q$103:Q$114)</f>
        <v>0</v>
      </c>
      <c r="R117" s="39">
        <f>SUMIF($E$38:$E$49:$E$51:$E$62:$E$64:$E$75:$E$77:$E$88:$E$90:$E$101:$E$103:$E$114,"PCA",R$38:R$49:R$51:R$62:R$64:R$75:R$77:R$88:R$90:R$101:R$103:R$114)</f>
        <v>0</v>
      </c>
      <c r="S117" s="39">
        <f>SUMIF($E$38:$E$49:$E$51:$E$62:$E$64:$E$75:$E$77:$E$88:$E$90:$E$101:$E$103:$E$114,"PCA",S$38:S$49:S$51:S$62:S$64:S$75:S$77:S$88:S$90:S$101:S$103:S$114)</f>
        <v>0</v>
      </c>
      <c r="T117" s="39">
        <f>SUMIF($E$38:$E$49:$E$51:$E$62:$E$64:$E$75:$E$77:$E$88:$E$90:$E$101:$E$103:$E$114,"PCA",T$38:T$49:T$51:T$62:T$64:T$75:T$77:T$88:T$90:T$101:T$103:T$114)</f>
        <v>0</v>
      </c>
      <c r="U117" s="39">
        <f>SUMIF($E$38:$E$49:$E$51:$E$62:$E$64:$E$75:$E$77:$E$88:$E$90:$E$101:$E$103:$E$114,"PCA",U$38:U$49:U$51:U$62:U$64:U$75:U$77:U$88:U$90:U$101:U$103:U$114)</f>
        <v>0</v>
      </c>
      <c r="V117" s="39">
        <f>SUMIF($E$38:$E$49:$E$51:$E$62:$E$64:$E$75:$E$77:$E$88:$E$90:$E$101:$E$103:$E$114,"PCA",V$38:V$49:V$51:V$62:V$64:V$75:V$77:V$88:V$90:V$101:V$103:V$114)</f>
        <v>0</v>
      </c>
      <c r="W117" s="39">
        <f>SUMIF($E$38:$E$49:$E$51:$E$62:$E$64:$E$75:$E$77:$E$88:$E$90:$E$101:$E$103:$E$114,"PCA",W$38:W$49:W$51:W$62:W$64:W$75:W$77:W$88:W$90:W$101:W$103:W$114)</f>
        <v>0</v>
      </c>
      <c r="X117" s="39">
        <f>SUMIF($E$38:$E$49:$E$51:$E$62:$E$64:$E$75:$E$77:$E$88:$E$90:$E$101:$E$103:$E$114,"PCA",X$38:X$49:X$51:X$62:X$64:X$75:X$77:X$88:X$90:X$101:X$103:X$114)</f>
        <v>0</v>
      </c>
      <c r="Y117" s="101">
        <f>SUMIF($E$38:$E$49:$E$51:$E$62:$E$64:$E$75:$E$77:$E$88:$E$90:$E$101:$E$103:$E$114,"PCA",Y$38:Y$49:Y$51:Y$62:Y$64:Y$75:Y$77:Y$88:Y$90:Y$101:Y$103:Y$114)</f>
        <v>0</v>
      </c>
    </row>
    <row r="118" spans="1:25" s="18" customFormat="1" ht="15.5" x14ac:dyDescent="0.35">
      <c r="A118" s="1"/>
      <c r="B118" s="148" t="s">
        <v>115</v>
      </c>
      <c r="C118" s="203"/>
      <c r="D118" s="204"/>
      <c r="E118" s="40"/>
      <c r="F118" s="41"/>
      <c r="G118" s="42"/>
      <c r="H118" s="42">
        <f>SUMIF($E$38:$E$49:$E$51:$E$62:$E$64:$E$75:$E$77:$E$88:$E$90:$E$101:$E$103:$E$114,"Other",H$38:H$49:H$51:H$62:H$64:H$75:H$77:H$88:H$90:H$101:H$103:H$114)</f>
        <v>1</v>
      </c>
      <c r="I118" s="42">
        <f>SUMIF($E$38:$E$49:$E$51:$E$62:$E$64:$E$75:$E$77:$E$88:$E$90:$E$101:$E$103:$E$114,"Other",I$38:I$49:I$51:I$62:I$64:I$75:I$77:I$88:I$90:I$101:I$103:I$114)</f>
        <v>6001</v>
      </c>
      <c r="J118" s="42">
        <f>SUMIF($E$38:$E$49:$E$51:$E$62:$E$64:$E$75:$E$77:$E$88:$E$90:$E$101:$E$103:$E$114,"Other",J$38:J$49:J$51:J$62:J$64:J$75:J$77:J$88:J$90:J$101:J$103:J$114)</f>
        <v>435.07249999999999</v>
      </c>
      <c r="K118" s="42">
        <f>SUMIF($E$38:$E$49:$E$51:$E$62:$E$64:$E$75:$E$77:$E$88:$E$90:$E$101:$E$103:$E$114,"Other",K$38:K$49:K$51:K$62:K$64:K$75:K$77:K$88:K$90:K$101:K$103:K$114)</f>
        <v>321.80362500000001</v>
      </c>
      <c r="L118" s="42">
        <f>SUMIF($E$38:$E$49:$E$51:$E$62:$E$64:$E$75:$E$77:$E$88:$E$90:$E$101:$E$103:$E$114,"Other",L$38:L$49:L$51:L$62:L$64:L$75:L$77:L$88:L$90:L$101:L$103:L$114)</f>
        <v>6757.8761250000007</v>
      </c>
      <c r="M118" s="42">
        <f>SUMIF($E$38:$E$49:$E$51:$E$62:$E$64:$E$75:$E$77:$E$88:$E$90:$E$101:$E$103:$E$114,"Other",M$38:M$49:M$51:M$62:M$64:M$75:M$77:M$88:M$90:M$101:M$103:M$114)</f>
        <v>6757.8761250000007</v>
      </c>
      <c r="N118" s="42">
        <f>SUMIF($E$38:$E$49:$E$51:$E$62:$E$64:$E$75:$E$77:$E$88:$E$90:$E$101:$E$103:$E$114,"Other",N$38:N$49:N$51:N$62:N$64:N$75:N$77:N$88:N$90:N$101:N$103:N$114)</f>
        <v>6757.8761250000007</v>
      </c>
      <c r="O118" s="42">
        <f>SUMIF($E$38:$E$49:$E$51:$E$62:$E$64:$E$75:$E$77:$E$88:$E$90:$E$101:$E$103:$E$114,"Other",O$38:O$49:O$51:O$62:O$64:O$75:O$77:O$88:O$90:O$101:O$103:O$114)</f>
        <v>0</v>
      </c>
      <c r="P118" s="42">
        <f>SUMIF($E$38:$E$49:$E$51:$E$62:$E$64:$E$75:$E$77:$E$88:$E$90:$E$101:$E$103:$E$114,"Other",P$38:P$49:P$51:P$62:P$64:P$75:P$77:P$88:P$90:P$101:P$103:P$114)</f>
        <v>0</v>
      </c>
      <c r="Q118" s="42">
        <f>SUMIF($E$38:$E$49:$E$51:$E$62:$E$64:$E$75:$E$77:$E$88:$E$90:$E$101:$E$103:$E$114,"Other",Q$38:Q$49:Q$51:Q$62:Q$64:Q$75:Q$77:Q$88:Q$90:Q$101:Q$103:Q$114)</f>
        <v>0</v>
      </c>
      <c r="R118" s="42">
        <f>SUMIF($E$38:$E$49:$E$51:$E$62:$E$64:$E$75:$E$77:$E$88:$E$90:$E$101:$E$103:$E$114,"Other",R$38:R$49:R$51:R$62:R$64:R$75:R$77:R$88:R$90:R$101:R$103:R$114)</f>
        <v>0</v>
      </c>
      <c r="S118" s="42">
        <f>SUMIF($E$38:$E$49:$E$51:$E$62:$E$64:$E$75:$E$77:$E$88:$E$90:$E$101:$E$103:$E$114,"Other",S$38:S$49:S$51:S$62:S$64:S$75:S$77:S$88:S$90:S$101:S$103:S$114)</f>
        <v>0</v>
      </c>
      <c r="T118" s="42">
        <f>SUMIF($E$38:$E$49:$E$51:$E$62:$E$64:$E$75:$E$77:$E$88:$E$90:$E$101:$E$103:$E$114,"Other",T$38:T$49:T$51:T$62:T$64:T$75:T$77:T$88:T$90:T$101:T$103:T$114)</f>
        <v>0</v>
      </c>
      <c r="U118" s="42">
        <f>SUMIF($E$38:$E$49:$E$51:$E$62:$E$64:$E$75:$E$77:$E$88:$E$90:$E$101:$E$103:$E$114,"Other",U$38:U$49:U$51:U$62:U$64:U$75:U$77:U$88:U$90:U$101:U$103:U$114)</f>
        <v>0</v>
      </c>
      <c r="V118" s="42">
        <f>SUMIF($E$38:$E$49:$E$51:$E$62:$E$64:$E$75:$E$77:$E$88:$E$90:$E$101:$E$103:$E$114,"Other",V$38:V$49:V$51:V$62:V$64:V$75:V$77:V$88:V$90:V$101:V$103:V$114)</f>
        <v>0</v>
      </c>
      <c r="W118" s="42">
        <f>SUMIF($E$38:$E$49:$E$51:$E$62:$E$64:$E$75:$E$77:$E$88:$E$90:$E$101:$E$103:$E$114,"Other",W$38:W$49:W$51:W$62:W$64:W$75:W$77:W$88:W$90:W$101:W$103:W$114)</f>
        <v>0</v>
      </c>
      <c r="X118" s="42">
        <f>SUMIF($E$38:$E$49:$E$51:$E$62:$E$64:$E$75:$E$77:$E$88:$E$90:$E$101:$E$103:$E$114,"Other",X$38:X$49:X$51:X$62:X$64:X$75:X$77:X$88:X$90:X$101:X$103:X$114)</f>
        <v>0</v>
      </c>
      <c r="Y118" s="102">
        <f>SUMIF($E$38:$E$49:$E$51:$E$62:$E$64:$E$75:$E$77:$E$88:$E$90:$E$101:$E$103:$E$114,"Other",Y$38:Y$49:Y$51:Y$62:Y$64:Y$75:Y$77:Y$88:Y$90:Y$101:Y$103:Y$114)</f>
        <v>0</v>
      </c>
    </row>
    <row r="119" spans="1:25" s="18" customFormat="1" ht="15.5" x14ac:dyDescent="0.35">
      <c r="A119" s="1"/>
      <c r="B119" s="151" t="s">
        <v>116</v>
      </c>
      <c r="C119" s="214"/>
      <c r="D119" s="215"/>
      <c r="E119" s="13"/>
      <c r="F119" s="14"/>
      <c r="G119" s="15"/>
      <c r="H119" s="15">
        <f t="shared" ref="H119:Y119" si="75">H37+H50+H63+H76+H89+H102</f>
        <v>6</v>
      </c>
      <c r="I119" s="15">
        <f t="shared" si="75"/>
        <v>28356</v>
      </c>
      <c r="J119" s="15">
        <f t="shared" si="75"/>
        <v>2055.81</v>
      </c>
      <c r="K119" s="15">
        <f t="shared" si="75"/>
        <v>1520.5905</v>
      </c>
      <c r="L119" s="15">
        <f t="shared" si="75"/>
        <v>31932.400499999996</v>
      </c>
      <c r="M119" s="15">
        <f t="shared" si="75"/>
        <v>31932.400499999996</v>
      </c>
      <c r="N119" s="15">
        <f t="shared" si="75"/>
        <v>31932.400499999996</v>
      </c>
      <c r="O119" s="15">
        <f t="shared" si="75"/>
        <v>0</v>
      </c>
      <c r="P119" s="15">
        <f t="shared" si="75"/>
        <v>0</v>
      </c>
      <c r="Q119" s="15">
        <f t="shared" si="75"/>
        <v>0</v>
      </c>
      <c r="R119" s="15">
        <f t="shared" si="75"/>
        <v>0</v>
      </c>
      <c r="S119" s="15">
        <f t="shared" si="75"/>
        <v>0</v>
      </c>
      <c r="T119" s="15">
        <f t="shared" si="75"/>
        <v>0</v>
      </c>
      <c r="U119" s="15">
        <f t="shared" si="75"/>
        <v>0</v>
      </c>
      <c r="V119" s="15">
        <f t="shared" si="75"/>
        <v>0</v>
      </c>
      <c r="W119" s="15">
        <f t="shared" si="75"/>
        <v>0</v>
      </c>
      <c r="X119" s="15">
        <f t="shared" si="75"/>
        <v>0</v>
      </c>
      <c r="Y119" s="103">
        <f t="shared" si="75"/>
        <v>0</v>
      </c>
    </row>
    <row r="120" spans="1:25" s="18" customFormat="1" ht="15.5" x14ac:dyDescent="0.35">
      <c r="A120" s="1"/>
      <c r="B120" s="104" t="s">
        <v>104</v>
      </c>
      <c r="C120" s="43"/>
      <c r="D120" s="44" t="s">
        <v>134</v>
      </c>
      <c r="E120" s="45">
        <v>0.1</v>
      </c>
      <c r="F120" s="208" t="str">
        <f>IF(D120="Method - $ per Key","Per Key",IF(D19="Method - $ Allowance","Total",""))</f>
        <v/>
      </c>
      <c r="G120" s="209"/>
      <c r="H120" s="46" t="s">
        <v>9</v>
      </c>
      <c r="I120" s="205"/>
      <c r="J120" s="206"/>
      <c r="K120" s="207"/>
      <c r="L120" s="47">
        <f>$E$120*L119</f>
        <v>3193.2400499999999</v>
      </c>
      <c r="M120" s="47">
        <f t="shared" ref="M120:Y120" si="76">$E$120*M119</f>
        <v>3193.2400499999999</v>
      </c>
      <c r="N120" s="63">
        <f t="shared" si="76"/>
        <v>3193.2400499999999</v>
      </c>
      <c r="O120" s="63">
        <f t="shared" si="76"/>
        <v>0</v>
      </c>
      <c r="P120" s="63">
        <f t="shared" si="76"/>
        <v>0</v>
      </c>
      <c r="Q120" s="63">
        <f t="shared" si="76"/>
        <v>0</v>
      </c>
      <c r="R120" s="63">
        <f t="shared" si="76"/>
        <v>0</v>
      </c>
      <c r="S120" s="63">
        <f t="shared" si="76"/>
        <v>0</v>
      </c>
      <c r="T120" s="63">
        <f t="shared" si="76"/>
        <v>0</v>
      </c>
      <c r="U120" s="63">
        <f t="shared" si="76"/>
        <v>0</v>
      </c>
      <c r="V120" s="63">
        <f t="shared" si="76"/>
        <v>0</v>
      </c>
      <c r="W120" s="63">
        <f t="shared" si="76"/>
        <v>0</v>
      </c>
      <c r="X120" s="63">
        <f t="shared" si="76"/>
        <v>0</v>
      </c>
      <c r="Y120" s="109">
        <f t="shared" si="76"/>
        <v>0</v>
      </c>
    </row>
    <row r="121" spans="1:25" s="18" customFormat="1" ht="16" thickBot="1" x14ac:dyDescent="0.4">
      <c r="A121" s="1"/>
      <c r="B121" s="142" t="s">
        <v>109</v>
      </c>
      <c r="C121" s="143"/>
      <c r="D121" s="144"/>
      <c r="E121" s="106"/>
      <c r="F121" s="210"/>
      <c r="G121" s="211"/>
      <c r="H121" s="16">
        <f>H119</f>
        <v>6</v>
      </c>
      <c r="I121" s="107">
        <f>I119</f>
        <v>28356</v>
      </c>
      <c r="J121" s="107">
        <f>J119</f>
        <v>2055.81</v>
      </c>
      <c r="K121" s="107">
        <f>K119</f>
        <v>1520.5905</v>
      </c>
      <c r="L121" s="107">
        <f>SUM(L119:L120)</f>
        <v>35125.640549999996</v>
      </c>
      <c r="M121" s="107">
        <f t="shared" ref="M121:Y121" si="77">SUM(M119:M120)</f>
        <v>35125.640549999996</v>
      </c>
      <c r="N121" s="16">
        <f t="shared" si="77"/>
        <v>35125.640549999996</v>
      </c>
      <c r="O121" s="16">
        <f t="shared" si="77"/>
        <v>0</v>
      </c>
      <c r="P121" s="16">
        <f t="shared" si="77"/>
        <v>0</v>
      </c>
      <c r="Q121" s="16">
        <f t="shared" si="77"/>
        <v>0</v>
      </c>
      <c r="R121" s="16">
        <f t="shared" si="77"/>
        <v>0</v>
      </c>
      <c r="S121" s="16">
        <f t="shared" si="77"/>
        <v>0</v>
      </c>
      <c r="T121" s="16">
        <f t="shared" si="77"/>
        <v>0</v>
      </c>
      <c r="U121" s="16">
        <f t="shared" si="77"/>
        <v>0</v>
      </c>
      <c r="V121" s="16">
        <f t="shared" si="77"/>
        <v>0</v>
      </c>
      <c r="W121" s="16">
        <f t="shared" si="77"/>
        <v>0</v>
      </c>
      <c r="X121" s="16">
        <f t="shared" si="77"/>
        <v>0</v>
      </c>
      <c r="Y121" s="108">
        <f t="shared" si="77"/>
        <v>0</v>
      </c>
    </row>
    <row r="122" spans="1:25" s="18" customFormat="1" ht="14.25" customHeight="1" x14ac:dyDescent="0.35">
      <c r="A122" s="1"/>
      <c r="B122" s="25"/>
      <c r="C122" s="25"/>
      <c r="D122" s="25"/>
      <c r="E122" s="25"/>
      <c r="F122" s="19"/>
      <c r="G122" s="20"/>
      <c r="H122" s="26"/>
      <c r="I122" s="27"/>
      <c r="J122" s="27"/>
      <c r="K122" s="27"/>
      <c r="L122" s="27"/>
      <c r="M122" s="27"/>
      <c r="N122" s="27"/>
      <c r="O122" s="27"/>
      <c r="P122" s="27"/>
      <c r="Q122" s="27"/>
      <c r="R122" s="27"/>
      <c r="S122" s="27"/>
      <c r="T122" s="27"/>
      <c r="U122" s="27"/>
      <c r="V122" s="27"/>
      <c r="W122" s="27"/>
      <c r="X122" s="27"/>
      <c r="Y122" s="27"/>
    </row>
    <row r="123" spans="1:25" s="18" customFormat="1" ht="14.25" customHeight="1" x14ac:dyDescent="0.35">
      <c r="A123" s="1"/>
      <c r="F123" s="19"/>
      <c r="G123" s="20"/>
      <c r="H123" s="26"/>
      <c r="I123" s="27"/>
      <c r="J123" s="27"/>
      <c r="K123" s="27"/>
      <c r="L123" s="27"/>
      <c r="M123" s="27"/>
      <c r="N123" s="27"/>
      <c r="O123" s="27"/>
      <c r="P123" s="27"/>
      <c r="Q123" s="27"/>
      <c r="R123" s="27"/>
      <c r="S123" s="27"/>
      <c r="T123" s="27"/>
      <c r="U123" s="27"/>
      <c r="V123" s="27"/>
      <c r="W123" s="27"/>
      <c r="X123" s="27"/>
      <c r="Y123" s="27"/>
    </row>
    <row r="124" spans="1:25" s="18" customFormat="1" ht="14.25" customHeight="1" x14ac:dyDescent="0.35">
      <c r="A124" s="1"/>
      <c r="F124" s="19"/>
      <c r="G124" s="20"/>
      <c r="H124" s="26"/>
      <c r="I124" s="27"/>
      <c r="J124" s="27"/>
      <c r="K124" s="27"/>
      <c r="L124" s="27"/>
      <c r="M124" s="27"/>
      <c r="N124" s="27"/>
      <c r="O124" s="27"/>
      <c r="P124" s="27"/>
      <c r="Q124" s="27"/>
      <c r="R124" s="27"/>
      <c r="S124" s="27"/>
      <c r="T124" s="27"/>
      <c r="U124" s="27"/>
      <c r="V124" s="27"/>
      <c r="W124" s="27"/>
      <c r="X124" s="27"/>
      <c r="Y124" s="27"/>
    </row>
    <row r="125" spans="1:25" s="18" customFormat="1" ht="14.25" customHeight="1" x14ac:dyDescent="0.35">
      <c r="A125" s="1"/>
      <c r="F125" s="19"/>
      <c r="G125" s="20"/>
      <c r="H125" s="26"/>
      <c r="I125" s="27"/>
      <c r="J125" s="27"/>
      <c r="K125" s="27"/>
      <c r="L125" s="27"/>
      <c r="M125" s="27"/>
      <c r="N125" s="27"/>
      <c r="O125" s="27"/>
      <c r="P125" s="27"/>
      <c r="Q125" s="27"/>
      <c r="R125" s="27"/>
      <c r="S125" s="27"/>
      <c r="T125" s="27"/>
      <c r="U125" s="27"/>
      <c r="V125" s="27"/>
      <c r="W125" s="27"/>
      <c r="X125" s="27"/>
      <c r="Y125" s="27"/>
    </row>
    <row r="126" spans="1:25" s="18" customFormat="1" ht="14.25" customHeight="1" x14ac:dyDescent="0.35">
      <c r="A126" s="1"/>
      <c r="F126" s="19"/>
      <c r="G126" s="20"/>
      <c r="H126" s="26"/>
      <c r="I126" s="27"/>
      <c r="J126" s="27"/>
      <c r="K126" s="27"/>
      <c r="L126" s="27"/>
      <c r="M126" s="27"/>
      <c r="N126" s="27"/>
      <c r="O126" s="27"/>
      <c r="P126" s="27"/>
      <c r="Q126" s="27"/>
      <c r="R126" s="27"/>
      <c r="S126" s="27"/>
      <c r="T126" s="27"/>
      <c r="U126" s="27"/>
      <c r="V126" s="27"/>
      <c r="W126" s="27"/>
      <c r="X126" s="27"/>
      <c r="Y126" s="27"/>
    </row>
    <row r="127" spans="1:25" s="18" customFormat="1" ht="14.25" customHeight="1" x14ac:dyDescent="0.35">
      <c r="A127" s="1"/>
      <c r="F127" s="19"/>
      <c r="G127" s="20"/>
      <c r="H127" s="26"/>
      <c r="I127" s="27"/>
      <c r="J127" s="27"/>
      <c r="K127" s="27"/>
      <c r="L127" s="27"/>
      <c r="M127" s="27"/>
      <c r="N127" s="27"/>
      <c r="O127" s="27"/>
      <c r="P127" s="27"/>
      <c r="Q127" s="27"/>
      <c r="R127" s="27"/>
      <c r="S127" s="27"/>
      <c r="T127" s="27"/>
      <c r="U127" s="27"/>
      <c r="V127" s="27"/>
      <c r="W127" s="27"/>
      <c r="X127" s="27"/>
      <c r="Y127" s="27"/>
    </row>
    <row r="128" spans="1:25" s="18" customFormat="1" ht="14.25" customHeight="1" x14ac:dyDescent="0.35">
      <c r="A128" s="1"/>
      <c r="F128" s="19"/>
      <c r="G128" s="20"/>
      <c r="H128" s="26"/>
      <c r="I128" s="27"/>
      <c r="J128" s="27"/>
      <c r="K128" s="27"/>
      <c r="L128" s="27"/>
      <c r="M128" s="27"/>
      <c r="N128" s="27"/>
      <c r="O128" s="27"/>
      <c r="P128" s="27"/>
      <c r="Q128" s="27"/>
      <c r="R128" s="27"/>
      <c r="S128" s="27"/>
      <c r="T128" s="27"/>
      <c r="U128" s="27"/>
      <c r="V128" s="27"/>
      <c r="W128" s="27"/>
      <c r="X128" s="27"/>
      <c r="Y128" s="27"/>
    </row>
    <row r="129" spans="1:25" s="18" customFormat="1" ht="14.25" customHeight="1" x14ac:dyDescent="0.35">
      <c r="A129" s="1"/>
      <c r="F129" s="19"/>
      <c r="G129" s="20"/>
      <c r="H129" s="26"/>
      <c r="I129" s="27"/>
      <c r="J129" s="27"/>
      <c r="K129" s="27"/>
      <c r="L129" s="27"/>
      <c r="M129" s="27"/>
      <c r="N129" s="27"/>
      <c r="O129" s="27"/>
      <c r="P129" s="27"/>
      <c r="Q129" s="27"/>
      <c r="R129" s="27"/>
      <c r="S129" s="27"/>
      <c r="T129" s="27"/>
      <c r="U129" s="27"/>
      <c r="V129" s="27"/>
      <c r="W129" s="27"/>
      <c r="X129" s="27"/>
      <c r="Y129" s="27"/>
    </row>
    <row r="130" spans="1:25" s="18" customFormat="1" ht="14.25" customHeight="1" x14ac:dyDescent="0.35">
      <c r="A130" s="1"/>
      <c r="F130" s="19"/>
      <c r="G130" s="20"/>
      <c r="H130" s="26"/>
      <c r="I130" s="26"/>
      <c r="J130" s="26"/>
      <c r="K130" s="26"/>
      <c r="L130" s="26"/>
      <c r="M130" s="26"/>
      <c r="N130" s="26"/>
      <c r="O130" s="26"/>
      <c r="P130" s="26"/>
      <c r="Q130" s="26"/>
      <c r="R130" s="26"/>
      <c r="S130" s="26"/>
      <c r="T130" s="26"/>
      <c r="U130" s="26"/>
      <c r="V130" s="26"/>
      <c r="W130" s="26"/>
      <c r="X130" s="26"/>
      <c r="Y130" s="26"/>
    </row>
    <row r="131" spans="1:25" s="18" customFormat="1" ht="14.25" customHeight="1" x14ac:dyDescent="0.35">
      <c r="F131" s="19"/>
      <c r="G131" s="20"/>
      <c r="H131" s="26"/>
      <c r="I131" s="26"/>
      <c r="J131" s="26"/>
      <c r="K131" s="26"/>
      <c r="L131" s="26"/>
      <c r="M131" s="26"/>
      <c r="N131" s="26"/>
      <c r="O131" s="26"/>
      <c r="P131" s="26"/>
      <c r="Q131" s="26"/>
      <c r="R131" s="26"/>
      <c r="S131" s="26"/>
      <c r="T131" s="26"/>
      <c r="U131" s="26"/>
      <c r="V131" s="26"/>
      <c r="W131" s="26"/>
      <c r="X131" s="26"/>
      <c r="Y131" s="26"/>
    </row>
    <row r="132" spans="1:25" s="18" customFormat="1" ht="14.25" customHeight="1" x14ac:dyDescent="0.35">
      <c r="F132" s="19"/>
      <c r="G132" s="20"/>
      <c r="H132" s="26"/>
      <c r="I132" s="26"/>
      <c r="J132" s="26"/>
      <c r="K132" s="26"/>
      <c r="L132" s="26"/>
      <c r="M132" s="26"/>
      <c r="N132" s="26"/>
      <c r="O132" s="26"/>
      <c r="P132" s="26"/>
      <c r="Q132" s="26"/>
      <c r="R132" s="26"/>
      <c r="S132" s="26"/>
      <c r="T132" s="26"/>
      <c r="U132" s="26"/>
      <c r="V132" s="26"/>
      <c r="W132" s="26"/>
      <c r="X132" s="26"/>
      <c r="Y132" s="26"/>
    </row>
    <row r="133" spans="1:25" s="18" customFormat="1" ht="14.25" customHeight="1" x14ac:dyDescent="0.35">
      <c r="F133" s="19"/>
      <c r="G133" s="20"/>
      <c r="H133" s="26"/>
      <c r="I133" s="26"/>
      <c r="J133" s="26"/>
      <c r="K133" s="26"/>
      <c r="L133" s="26"/>
      <c r="M133" s="26"/>
      <c r="N133" s="26"/>
      <c r="O133" s="26"/>
      <c r="P133" s="26"/>
      <c r="Q133" s="26"/>
      <c r="R133" s="26"/>
      <c r="S133" s="26"/>
      <c r="T133" s="26"/>
      <c r="U133" s="26"/>
      <c r="V133" s="26"/>
      <c r="W133" s="26"/>
      <c r="X133" s="26"/>
      <c r="Y133" s="26"/>
    </row>
    <row r="134" spans="1:25" s="18" customFormat="1" ht="14.25" customHeight="1" x14ac:dyDescent="0.35">
      <c r="F134" s="19"/>
      <c r="G134" s="20"/>
    </row>
    <row r="135" spans="1:25" s="18" customFormat="1" ht="14.25" customHeight="1" x14ac:dyDescent="0.35">
      <c r="F135" s="19"/>
      <c r="G135" s="20"/>
    </row>
    <row r="136" spans="1:25" s="18" customFormat="1" ht="14.25" customHeight="1" x14ac:dyDescent="0.35">
      <c r="F136" s="19"/>
      <c r="G136" s="20"/>
    </row>
    <row r="137" spans="1:25" s="18" customFormat="1" ht="14.25" customHeight="1" x14ac:dyDescent="0.35">
      <c r="F137" s="19"/>
      <c r="G137" s="20"/>
    </row>
    <row r="138" spans="1:25" s="18" customFormat="1" ht="14.25" customHeight="1" x14ac:dyDescent="0.35">
      <c r="F138" s="19"/>
      <c r="G138" s="20"/>
    </row>
    <row r="139" spans="1:25" s="18" customFormat="1" ht="14.25" customHeight="1" x14ac:dyDescent="0.35">
      <c r="F139" s="19"/>
      <c r="G139" s="20"/>
    </row>
    <row r="140" spans="1:25" s="18" customFormat="1" ht="14.25" customHeight="1" x14ac:dyDescent="0.35">
      <c r="F140" s="19"/>
      <c r="G140" s="20"/>
    </row>
    <row r="141" spans="1:25" s="18" customFormat="1" ht="14.25" customHeight="1" x14ac:dyDescent="0.35">
      <c r="F141" s="19"/>
      <c r="G141" s="20"/>
    </row>
    <row r="142" spans="1:25" s="18" customFormat="1" ht="14.25" customHeight="1" x14ac:dyDescent="0.35">
      <c r="F142" s="19"/>
      <c r="G142" s="20"/>
    </row>
    <row r="143" spans="1:25" s="18" customFormat="1" ht="14.25" customHeight="1" x14ac:dyDescent="0.35">
      <c r="F143" s="19"/>
      <c r="G143" s="20"/>
    </row>
    <row r="144" spans="1:25" s="18" customFormat="1" ht="14.25" customHeight="1" x14ac:dyDescent="0.35">
      <c r="F144" s="19"/>
      <c r="G144" s="20"/>
    </row>
    <row r="145" spans="6:7" s="18" customFormat="1" ht="14.25" customHeight="1" x14ac:dyDescent="0.35">
      <c r="F145" s="19"/>
      <c r="G145" s="20"/>
    </row>
    <row r="146" spans="6:7" s="18" customFormat="1" ht="14.25" customHeight="1" x14ac:dyDescent="0.35">
      <c r="F146" s="19"/>
      <c r="G146" s="20"/>
    </row>
    <row r="147" spans="6:7" s="18" customFormat="1" ht="14.25" customHeight="1" x14ac:dyDescent="0.35">
      <c r="F147" s="19"/>
      <c r="G147" s="20"/>
    </row>
    <row r="148" spans="6:7" s="18" customFormat="1" ht="14.25" customHeight="1" x14ac:dyDescent="0.35">
      <c r="F148" s="19"/>
      <c r="G148" s="20"/>
    </row>
    <row r="149" spans="6:7" s="18" customFormat="1" ht="14.25" customHeight="1" x14ac:dyDescent="0.35">
      <c r="F149" s="19"/>
      <c r="G149" s="20"/>
    </row>
    <row r="150" spans="6:7" s="18" customFormat="1" ht="14.25" customHeight="1" x14ac:dyDescent="0.35">
      <c r="F150" s="19"/>
      <c r="G150" s="20"/>
    </row>
    <row r="151" spans="6:7" s="18" customFormat="1" ht="14.25" customHeight="1" x14ac:dyDescent="0.35">
      <c r="F151" s="19"/>
      <c r="G151" s="20"/>
    </row>
    <row r="152" spans="6:7" s="18" customFormat="1" ht="14.25" customHeight="1" x14ac:dyDescent="0.35">
      <c r="F152" s="19"/>
      <c r="G152" s="20"/>
    </row>
    <row r="153" spans="6:7" s="18" customFormat="1" ht="14.25" customHeight="1" x14ac:dyDescent="0.35">
      <c r="F153" s="19"/>
      <c r="G153" s="20"/>
    </row>
    <row r="154" spans="6:7" s="18" customFormat="1" ht="14.25" customHeight="1" x14ac:dyDescent="0.35">
      <c r="F154" s="19"/>
      <c r="G154" s="20"/>
    </row>
    <row r="155" spans="6:7" s="18" customFormat="1" ht="14.25" customHeight="1" x14ac:dyDescent="0.35">
      <c r="F155" s="19"/>
      <c r="G155" s="20"/>
    </row>
    <row r="156" spans="6:7" s="18" customFormat="1" ht="14.25" customHeight="1" x14ac:dyDescent="0.35">
      <c r="F156" s="19"/>
      <c r="G156" s="20"/>
    </row>
    <row r="157" spans="6:7" s="18" customFormat="1" ht="14.25" customHeight="1" x14ac:dyDescent="0.35">
      <c r="F157" s="19"/>
      <c r="G157" s="20"/>
    </row>
    <row r="158" spans="6:7" s="18" customFormat="1" ht="14.25" customHeight="1" x14ac:dyDescent="0.35">
      <c r="F158" s="19"/>
      <c r="G158" s="20"/>
    </row>
    <row r="159" spans="6:7" s="18" customFormat="1" ht="14.25" customHeight="1" x14ac:dyDescent="0.35">
      <c r="F159" s="19"/>
      <c r="G159" s="20"/>
    </row>
    <row r="160" spans="6:7" s="18" customFormat="1" ht="14.25" customHeight="1" x14ac:dyDescent="0.35">
      <c r="F160" s="19"/>
      <c r="G160" s="20"/>
    </row>
    <row r="161" spans="6:7" s="18" customFormat="1" ht="14.25" customHeight="1" x14ac:dyDescent="0.35">
      <c r="F161" s="19"/>
      <c r="G161" s="20"/>
    </row>
    <row r="162" spans="6:7" s="18" customFormat="1" ht="14.25" customHeight="1" x14ac:dyDescent="0.35">
      <c r="F162" s="19"/>
      <c r="G162" s="20"/>
    </row>
    <row r="163" spans="6:7" s="18" customFormat="1" ht="14.25" customHeight="1" x14ac:dyDescent="0.35">
      <c r="F163" s="19"/>
      <c r="G163" s="20"/>
    </row>
    <row r="164" spans="6:7" s="18" customFormat="1" ht="14.25" customHeight="1" x14ac:dyDescent="0.35">
      <c r="F164" s="19"/>
      <c r="G164" s="20"/>
    </row>
    <row r="165" spans="6:7" s="18" customFormat="1" ht="14.25" customHeight="1" x14ac:dyDescent="0.35">
      <c r="F165" s="19"/>
      <c r="G165" s="20"/>
    </row>
    <row r="166" spans="6:7" s="18" customFormat="1" ht="14.25" customHeight="1" x14ac:dyDescent="0.35">
      <c r="F166" s="19"/>
      <c r="G166" s="20"/>
    </row>
    <row r="167" spans="6:7" s="18" customFormat="1" ht="14.25" customHeight="1" x14ac:dyDescent="0.35">
      <c r="F167" s="19"/>
      <c r="G167" s="20"/>
    </row>
    <row r="168" spans="6:7" s="18" customFormat="1" ht="14.25" customHeight="1" x14ac:dyDescent="0.35">
      <c r="F168" s="19"/>
      <c r="G168" s="20"/>
    </row>
    <row r="169" spans="6:7" s="18" customFormat="1" ht="14.25" customHeight="1" x14ac:dyDescent="0.35">
      <c r="F169" s="19"/>
      <c r="G169" s="20"/>
    </row>
    <row r="170" spans="6:7" s="18" customFormat="1" ht="14.25" customHeight="1" x14ac:dyDescent="0.35">
      <c r="F170" s="19"/>
      <c r="G170" s="20"/>
    </row>
    <row r="171" spans="6:7" s="18" customFormat="1" ht="14.25" customHeight="1" x14ac:dyDescent="0.35">
      <c r="F171" s="19"/>
      <c r="G171" s="20"/>
    </row>
    <row r="172" spans="6:7" s="18" customFormat="1" ht="14.25" customHeight="1" x14ac:dyDescent="0.35">
      <c r="F172" s="19"/>
      <c r="G172" s="20"/>
    </row>
    <row r="173" spans="6:7" s="18" customFormat="1" ht="14.25" customHeight="1" x14ac:dyDescent="0.35">
      <c r="F173" s="19"/>
      <c r="G173" s="20"/>
    </row>
    <row r="174" spans="6:7" s="18" customFormat="1" ht="14.25" customHeight="1" x14ac:dyDescent="0.35">
      <c r="F174" s="19"/>
      <c r="G174" s="20"/>
    </row>
    <row r="175" spans="6:7" s="18" customFormat="1" ht="14.25" customHeight="1" x14ac:dyDescent="0.35">
      <c r="F175" s="19"/>
      <c r="G175" s="20"/>
    </row>
    <row r="176" spans="6:7" s="18" customFormat="1" ht="14.25" customHeight="1" x14ac:dyDescent="0.35">
      <c r="F176" s="19"/>
      <c r="G176" s="20"/>
    </row>
    <row r="177" spans="6:7" s="18" customFormat="1" ht="14.25" customHeight="1" x14ac:dyDescent="0.35">
      <c r="F177" s="19"/>
      <c r="G177" s="20"/>
    </row>
    <row r="178" spans="6:7" s="18" customFormat="1" ht="14.25" customHeight="1" x14ac:dyDescent="0.35">
      <c r="F178" s="19"/>
      <c r="G178" s="20"/>
    </row>
    <row r="179" spans="6:7" s="18" customFormat="1" ht="14.25" customHeight="1" x14ac:dyDescent="0.35">
      <c r="F179" s="19"/>
      <c r="G179" s="20"/>
    </row>
    <row r="180" spans="6:7" s="18" customFormat="1" ht="14.25" customHeight="1" x14ac:dyDescent="0.35">
      <c r="F180" s="19"/>
      <c r="G180" s="20"/>
    </row>
    <row r="181" spans="6:7" s="18" customFormat="1" ht="14.25" customHeight="1" x14ac:dyDescent="0.35">
      <c r="F181" s="19"/>
      <c r="G181" s="20"/>
    </row>
    <row r="182" spans="6:7" s="18" customFormat="1" ht="14.25" customHeight="1" x14ac:dyDescent="0.35">
      <c r="F182" s="19"/>
      <c r="G182" s="20"/>
    </row>
    <row r="183" spans="6:7" s="18" customFormat="1" ht="14.25" customHeight="1" x14ac:dyDescent="0.35">
      <c r="F183" s="19"/>
      <c r="G183" s="20"/>
    </row>
    <row r="184" spans="6:7" s="18" customFormat="1" ht="14.25" customHeight="1" x14ac:dyDescent="0.35">
      <c r="F184" s="19"/>
      <c r="G184" s="20"/>
    </row>
    <row r="185" spans="6:7" s="18" customFormat="1" ht="14.25" customHeight="1" x14ac:dyDescent="0.35">
      <c r="F185" s="19"/>
      <c r="G185" s="20"/>
    </row>
    <row r="186" spans="6:7" s="18" customFormat="1" ht="14.25" customHeight="1" x14ac:dyDescent="0.35">
      <c r="F186" s="19"/>
      <c r="G186" s="20"/>
    </row>
    <row r="187" spans="6:7" s="18" customFormat="1" ht="14.25" customHeight="1" x14ac:dyDescent="0.35">
      <c r="F187" s="19"/>
      <c r="G187" s="20"/>
    </row>
    <row r="188" spans="6:7" s="18" customFormat="1" ht="14.25" customHeight="1" x14ac:dyDescent="0.35">
      <c r="F188" s="19"/>
      <c r="G188" s="20"/>
    </row>
    <row r="189" spans="6:7" s="18" customFormat="1" ht="14.25" customHeight="1" x14ac:dyDescent="0.35">
      <c r="F189" s="19"/>
      <c r="G189" s="20"/>
    </row>
    <row r="190" spans="6:7" s="18" customFormat="1" ht="14.25" customHeight="1" x14ac:dyDescent="0.35">
      <c r="F190" s="19"/>
      <c r="G190" s="20"/>
    </row>
    <row r="191" spans="6:7" s="18" customFormat="1" ht="14.25" customHeight="1" x14ac:dyDescent="0.35">
      <c r="F191" s="19"/>
      <c r="G191" s="20"/>
    </row>
    <row r="192" spans="6:7" s="18" customFormat="1" ht="14.25" customHeight="1" x14ac:dyDescent="0.35">
      <c r="F192" s="19"/>
      <c r="G192" s="20"/>
    </row>
    <row r="193" spans="6:7" s="18" customFormat="1" ht="14.25" customHeight="1" x14ac:dyDescent="0.35">
      <c r="F193" s="19"/>
      <c r="G193" s="20"/>
    </row>
    <row r="194" spans="6:7" s="18" customFormat="1" ht="14.25" customHeight="1" x14ac:dyDescent="0.35">
      <c r="F194" s="19"/>
      <c r="G194" s="20"/>
    </row>
    <row r="195" spans="6:7" s="18" customFormat="1" ht="14.25" customHeight="1" x14ac:dyDescent="0.35">
      <c r="F195" s="19"/>
      <c r="G195" s="20"/>
    </row>
    <row r="196" spans="6:7" s="18" customFormat="1" ht="14.25" customHeight="1" x14ac:dyDescent="0.35">
      <c r="F196" s="19"/>
      <c r="G196" s="20"/>
    </row>
    <row r="197" spans="6:7" s="18" customFormat="1" ht="14.25" customHeight="1" x14ac:dyDescent="0.35">
      <c r="F197" s="19"/>
      <c r="G197" s="20"/>
    </row>
    <row r="198" spans="6:7" s="18" customFormat="1" ht="14.25" customHeight="1" x14ac:dyDescent="0.35">
      <c r="F198" s="19"/>
      <c r="G198" s="20"/>
    </row>
    <row r="199" spans="6:7" s="18" customFormat="1" ht="14.25" customHeight="1" x14ac:dyDescent="0.35">
      <c r="F199" s="19"/>
      <c r="G199" s="20"/>
    </row>
    <row r="200" spans="6:7" s="18" customFormat="1" ht="14.25" customHeight="1" x14ac:dyDescent="0.35">
      <c r="F200" s="19"/>
      <c r="G200" s="20"/>
    </row>
    <row r="201" spans="6:7" s="18" customFormat="1" ht="14.25" customHeight="1" x14ac:dyDescent="0.35">
      <c r="F201" s="19"/>
      <c r="G201" s="20"/>
    </row>
    <row r="202" spans="6:7" s="18" customFormat="1" ht="14.25" customHeight="1" x14ac:dyDescent="0.35">
      <c r="F202" s="19"/>
      <c r="G202" s="20"/>
    </row>
    <row r="203" spans="6:7" s="18" customFormat="1" ht="14.25" customHeight="1" x14ac:dyDescent="0.35">
      <c r="F203" s="19"/>
      <c r="G203" s="20"/>
    </row>
    <row r="204" spans="6:7" s="18" customFormat="1" ht="14.25" customHeight="1" x14ac:dyDescent="0.35">
      <c r="F204" s="19"/>
      <c r="G204" s="20"/>
    </row>
    <row r="205" spans="6:7" s="18" customFormat="1" ht="14.25" customHeight="1" x14ac:dyDescent="0.35">
      <c r="F205" s="19"/>
      <c r="G205" s="20"/>
    </row>
    <row r="206" spans="6:7" s="18" customFormat="1" ht="14.25" customHeight="1" x14ac:dyDescent="0.35">
      <c r="F206" s="19"/>
      <c r="G206" s="20"/>
    </row>
    <row r="207" spans="6:7" s="18" customFormat="1" ht="14.25" customHeight="1" x14ac:dyDescent="0.35">
      <c r="F207" s="19"/>
      <c r="G207" s="20"/>
    </row>
    <row r="208" spans="6:7" s="18" customFormat="1" ht="14.25" customHeight="1" x14ac:dyDescent="0.35">
      <c r="F208" s="19"/>
      <c r="G208" s="20"/>
    </row>
    <row r="209" spans="6:7" s="18" customFormat="1" ht="14.25" customHeight="1" x14ac:dyDescent="0.35">
      <c r="F209" s="19"/>
      <c r="G209" s="20"/>
    </row>
    <row r="210" spans="6:7" s="18" customFormat="1" ht="14.25" customHeight="1" x14ac:dyDescent="0.35">
      <c r="F210" s="19"/>
      <c r="G210" s="20"/>
    </row>
    <row r="211" spans="6:7" s="18" customFormat="1" ht="14.25" customHeight="1" x14ac:dyDescent="0.35">
      <c r="F211" s="19"/>
      <c r="G211" s="20"/>
    </row>
    <row r="212" spans="6:7" s="18" customFormat="1" ht="14.25" customHeight="1" x14ac:dyDescent="0.35">
      <c r="F212" s="19"/>
      <c r="G212" s="20"/>
    </row>
    <row r="213" spans="6:7" s="18" customFormat="1" ht="14.25" customHeight="1" x14ac:dyDescent="0.35">
      <c r="F213" s="19"/>
      <c r="G213" s="20"/>
    </row>
    <row r="214" spans="6:7" s="18" customFormat="1" ht="14.25" customHeight="1" x14ac:dyDescent="0.35">
      <c r="F214" s="19"/>
      <c r="G214" s="20"/>
    </row>
    <row r="215" spans="6:7" s="18" customFormat="1" ht="14.25" customHeight="1" x14ac:dyDescent="0.35">
      <c r="F215" s="19"/>
      <c r="G215" s="20"/>
    </row>
    <row r="216" spans="6:7" s="18" customFormat="1" ht="14.25" customHeight="1" x14ac:dyDescent="0.35">
      <c r="F216" s="19"/>
      <c r="G216" s="20"/>
    </row>
    <row r="217" spans="6:7" s="18" customFormat="1" ht="14.25" customHeight="1" x14ac:dyDescent="0.35">
      <c r="F217" s="19"/>
      <c r="G217" s="20"/>
    </row>
    <row r="218" spans="6:7" s="18" customFormat="1" ht="14.25" customHeight="1" x14ac:dyDescent="0.35">
      <c r="F218" s="19"/>
      <c r="G218" s="20"/>
    </row>
    <row r="219" spans="6:7" s="18" customFormat="1" ht="14.25" customHeight="1" x14ac:dyDescent="0.35">
      <c r="F219" s="19"/>
      <c r="G219" s="20"/>
    </row>
    <row r="220" spans="6:7" s="18" customFormat="1" ht="14.25" customHeight="1" x14ac:dyDescent="0.35">
      <c r="F220" s="19"/>
      <c r="G220" s="20"/>
    </row>
    <row r="221" spans="6:7" s="18" customFormat="1" ht="14.25" customHeight="1" x14ac:dyDescent="0.35">
      <c r="F221" s="19"/>
      <c r="G221" s="20"/>
    </row>
    <row r="222" spans="6:7" s="18" customFormat="1" ht="14.25" customHeight="1" x14ac:dyDescent="0.35">
      <c r="F222" s="19"/>
      <c r="G222" s="20"/>
    </row>
    <row r="223" spans="6:7" s="18" customFormat="1" ht="14.25" customHeight="1" x14ac:dyDescent="0.35">
      <c r="F223" s="19"/>
      <c r="G223" s="20"/>
    </row>
    <row r="224" spans="6:7" s="18" customFormat="1" ht="14.25" customHeight="1" x14ac:dyDescent="0.35">
      <c r="F224" s="19"/>
      <c r="G224" s="20"/>
    </row>
    <row r="225" spans="6:7" s="18" customFormat="1" ht="14.25" customHeight="1" x14ac:dyDescent="0.35">
      <c r="F225" s="19"/>
      <c r="G225" s="20"/>
    </row>
    <row r="226" spans="6:7" s="18" customFormat="1" ht="14.25" customHeight="1" x14ac:dyDescent="0.35">
      <c r="F226" s="19"/>
      <c r="G226" s="20"/>
    </row>
    <row r="227" spans="6:7" s="18" customFormat="1" ht="14.25" customHeight="1" x14ac:dyDescent="0.35">
      <c r="F227" s="19"/>
      <c r="G227" s="20"/>
    </row>
    <row r="228" spans="6:7" s="18" customFormat="1" ht="14.25" customHeight="1" x14ac:dyDescent="0.35">
      <c r="F228" s="19"/>
      <c r="G228" s="20"/>
    </row>
    <row r="229" spans="6:7" s="18" customFormat="1" ht="14.25" customHeight="1" x14ac:dyDescent="0.35">
      <c r="F229" s="19"/>
      <c r="G229" s="20"/>
    </row>
    <row r="230" spans="6:7" s="18" customFormat="1" ht="14.25" customHeight="1" x14ac:dyDescent="0.35">
      <c r="F230" s="19"/>
      <c r="G230" s="20"/>
    </row>
    <row r="231" spans="6:7" s="18" customFormat="1" ht="14.25" customHeight="1" x14ac:dyDescent="0.35">
      <c r="F231" s="19"/>
      <c r="G231" s="20"/>
    </row>
    <row r="232" spans="6:7" s="18" customFormat="1" ht="14.25" customHeight="1" x14ac:dyDescent="0.35">
      <c r="F232" s="19"/>
      <c r="G232" s="20"/>
    </row>
    <row r="233" spans="6:7" s="18" customFormat="1" ht="14.25" customHeight="1" x14ac:dyDescent="0.35">
      <c r="F233" s="19"/>
      <c r="G233" s="20"/>
    </row>
    <row r="234" spans="6:7" s="18" customFormat="1" ht="14.25" customHeight="1" x14ac:dyDescent="0.35">
      <c r="F234" s="19"/>
      <c r="G234" s="20"/>
    </row>
    <row r="235" spans="6:7" s="18" customFormat="1" ht="14.25" customHeight="1" x14ac:dyDescent="0.35">
      <c r="F235" s="19"/>
      <c r="G235" s="20"/>
    </row>
    <row r="236" spans="6:7" s="18" customFormat="1" ht="14.25" customHeight="1" x14ac:dyDescent="0.35">
      <c r="F236" s="19"/>
      <c r="G236" s="20"/>
    </row>
    <row r="237" spans="6:7" s="18" customFormat="1" ht="14.25" customHeight="1" x14ac:dyDescent="0.35">
      <c r="F237" s="19"/>
      <c r="G237" s="20"/>
    </row>
    <row r="238" spans="6:7" s="18" customFormat="1" ht="14.25" customHeight="1" x14ac:dyDescent="0.35">
      <c r="F238" s="19"/>
      <c r="G238" s="20"/>
    </row>
    <row r="239" spans="6:7" s="18" customFormat="1" ht="14.25" customHeight="1" x14ac:dyDescent="0.35">
      <c r="F239" s="19"/>
      <c r="G239" s="20"/>
    </row>
    <row r="240" spans="6:7" s="18" customFormat="1" ht="14.25" customHeight="1" x14ac:dyDescent="0.35">
      <c r="F240" s="19"/>
      <c r="G240" s="20"/>
    </row>
    <row r="241" spans="6:7" s="18" customFormat="1" ht="14.25" customHeight="1" x14ac:dyDescent="0.35">
      <c r="F241" s="19"/>
      <c r="G241" s="20"/>
    </row>
    <row r="242" spans="6:7" s="18" customFormat="1" ht="14.25" customHeight="1" x14ac:dyDescent="0.35">
      <c r="F242" s="19"/>
      <c r="G242" s="20"/>
    </row>
    <row r="243" spans="6:7" s="18" customFormat="1" ht="14.25" customHeight="1" x14ac:dyDescent="0.35">
      <c r="F243" s="19"/>
      <c r="G243" s="20"/>
    </row>
    <row r="244" spans="6:7" s="18" customFormat="1" ht="14.25" customHeight="1" x14ac:dyDescent="0.35">
      <c r="F244" s="19"/>
      <c r="G244" s="20"/>
    </row>
    <row r="245" spans="6:7" s="18" customFormat="1" ht="14.25" customHeight="1" x14ac:dyDescent="0.35">
      <c r="F245" s="19"/>
      <c r="G245" s="20"/>
    </row>
    <row r="246" spans="6:7" s="18" customFormat="1" ht="14.25" customHeight="1" x14ac:dyDescent="0.35">
      <c r="F246" s="19"/>
      <c r="G246" s="20"/>
    </row>
    <row r="247" spans="6:7" s="18" customFormat="1" ht="14.25" customHeight="1" x14ac:dyDescent="0.35">
      <c r="F247" s="19"/>
      <c r="G247" s="20"/>
    </row>
    <row r="248" spans="6:7" s="18" customFormat="1" ht="14.25" customHeight="1" x14ac:dyDescent="0.35">
      <c r="F248" s="19"/>
      <c r="G248" s="20"/>
    </row>
    <row r="249" spans="6:7" s="18" customFormat="1" ht="14.25" customHeight="1" x14ac:dyDescent="0.35">
      <c r="F249" s="19"/>
      <c r="G249" s="20"/>
    </row>
    <row r="250" spans="6:7" s="18" customFormat="1" ht="14.25" customHeight="1" x14ac:dyDescent="0.35">
      <c r="F250" s="19"/>
      <c r="G250" s="20"/>
    </row>
    <row r="251" spans="6:7" s="18" customFormat="1" ht="14.25" customHeight="1" x14ac:dyDescent="0.35">
      <c r="F251" s="19"/>
      <c r="G251" s="20"/>
    </row>
    <row r="252" spans="6:7" s="18" customFormat="1" ht="14.25" customHeight="1" x14ac:dyDescent="0.35">
      <c r="F252" s="19"/>
      <c r="G252" s="20"/>
    </row>
    <row r="253" spans="6:7" s="18" customFormat="1" ht="14.25" customHeight="1" x14ac:dyDescent="0.35">
      <c r="F253" s="19"/>
      <c r="G253" s="20"/>
    </row>
    <row r="254" spans="6:7" s="18" customFormat="1" ht="14.25" customHeight="1" x14ac:dyDescent="0.35">
      <c r="F254" s="19"/>
      <c r="G254" s="20"/>
    </row>
    <row r="255" spans="6:7" s="18" customFormat="1" ht="14.25" customHeight="1" x14ac:dyDescent="0.35">
      <c r="F255" s="19"/>
      <c r="G255" s="20"/>
    </row>
    <row r="256" spans="6:7" s="18" customFormat="1" ht="14.25" customHeight="1" x14ac:dyDescent="0.35">
      <c r="F256" s="19"/>
      <c r="G256" s="20"/>
    </row>
    <row r="257" spans="6:7" s="18" customFormat="1" ht="14.25" customHeight="1" x14ac:dyDescent="0.35">
      <c r="F257" s="19"/>
      <c r="G257" s="20"/>
    </row>
    <row r="258" spans="6:7" s="18" customFormat="1" ht="14.25" customHeight="1" x14ac:dyDescent="0.35">
      <c r="F258" s="19"/>
      <c r="G258" s="20"/>
    </row>
    <row r="259" spans="6:7" s="18" customFormat="1" ht="14.25" customHeight="1" x14ac:dyDescent="0.35">
      <c r="F259" s="19"/>
      <c r="G259" s="20"/>
    </row>
    <row r="260" spans="6:7" s="18" customFormat="1" ht="14.25" customHeight="1" x14ac:dyDescent="0.35">
      <c r="F260" s="19"/>
      <c r="G260" s="20"/>
    </row>
    <row r="261" spans="6:7" s="18" customFormat="1" ht="14.25" customHeight="1" x14ac:dyDescent="0.35">
      <c r="F261" s="19"/>
      <c r="G261" s="20"/>
    </row>
    <row r="262" spans="6:7" s="18" customFormat="1" ht="14.25" customHeight="1" x14ac:dyDescent="0.35">
      <c r="F262" s="19"/>
      <c r="G262" s="20"/>
    </row>
    <row r="263" spans="6:7" s="18" customFormat="1" ht="14.25" customHeight="1" x14ac:dyDescent="0.35">
      <c r="F263" s="19"/>
      <c r="G263" s="20"/>
    </row>
    <row r="264" spans="6:7" s="18" customFormat="1" ht="14.25" customHeight="1" x14ac:dyDescent="0.35">
      <c r="F264" s="19"/>
      <c r="G264" s="20"/>
    </row>
    <row r="265" spans="6:7" s="18" customFormat="1" ht="14.25" customHeight="1" x14ac:dyDescent="0.35">
      <c r="F265" s="19"/>
      <c r="G265" s="20"/>
    </row>
    <row r="266" spans="6:7" s="18" customFormat="1" ht="14.25" customHeight="1" x14ac:dyDescent="0.35">
      <c r="F266" s="19"/>
      <c r="G266" s="20"/>
    </row>
    <row r="267" spans="6:7" s="18" customFormat="1" ht="14.25" customHeight="1" x14ac:dyDescent="0.35">
      <c r="F267" s="19"/>
      <c r="G267" s="20"/>
    </row>
    <row r="268" spans="6:7" s="18" customFormat="1" ht="14.25" customHeight="1" x14ac:dyDescent="0.35">
      <c r="F268" s="19"/>
      <c r="G268" s="20"/>
    </row>
    <row r="269" spans="6:7" s="18" customFormat="1" ht="14.25" customHeight="1" x14ac:dyDescent="0.35">
      <c r="F269" s="19"/>
      <c r="G269" s="20"/>
    </row>
    <row r="270" spans="6:7" s="18" customFormat="1" ht="14.25" customHeight="1" x14ac:dyDescent="0.35">
      <c r="F270" s="19"/>
      <c r="G270" s="20"/>
    </row>
    <row r="271" spans="6:7" s="18" customFormat="1" ht="14.25" customHeight="1" x14ac:dyDescent="0.35">
      <c r="F271" s="19"/>
      <c r="G271" s="20"/>
    </row>
    <row r="272" spans="6:7" s="18" customFormat="1" ht="14.25" customHeight="1" x14ac:dyDescent="0.35">
      <c r="F272" s="19"/>
      <c r="G272" s="20"/>
    </row>
    <row r="273" spans="6:7" s="18" customFormat="1" ht="14.25" customHeight="1" x14ac:dyDescent="0.35">
      <c r="F273" s="19"/>
      <c r="G273" s="20"/>
    </row>
    <row r="274" spans="6:7" s="18" customFormat="1" ht="14.25" customHeight="1" x14ac:dyDescent="0.35">
      <c r="F274" s="19"/>
      <c r="G274" s="20"/>
    </row>
    <row r="275" spans="6:7" s="18" customFormat="1" ht="14.25" customHeight="1" x14ac:dyDescent="0.35">
      <c r="F275" s="19"/>
      <c r="G275" s="20"/>
    </row>
    <row r="276" spans="6:7" s="18" customFormat="1" ht="14.25" customHeight="1" x14ac:dyDescent="0.35">
      <c r="F276" s="19"/>
      <c r="G276" s="20"/>
    </row>
    <row r="277" spans="6:7" s="18" customFormat="1" ht="14.25" customHeight="1" x14ac:dyDescent="0.35">
      <c r="F277" s="19"/>
      <c r="G277" s="20"/>
    </row>
    <row r="278" spans="6:7" s="18" customFormat="1" ht="14.25" customHeight="1" x14ac:dyDescent="0.35">
      <c r="F278" s="19"/>
      <c r="G278" s="20"/>
    </row>
    <row r="279" spans="6:7" s="18" customFormat="1" ht="14.25" customHeight="1" x14ac:dyDescent="0.35">
      <c r="F279" s="19"/>
      <c r="G279" s="20"/>
    </row>
    <row r="280" spans="6:7" s="18" customFormat="1" ht="14.25" customHeight="1" x14ac:dyDescent="0.35">
      <c r="F280" s="19"/>
      <c r="G280" s="20"/>
    </row>
    <row r="281" spans="6:7" s="18" customFormat="1" ht="14.25" customHeight="1" x14ac:dyDescent="0.35">
      <c r="F281" s="19"/>
      <c r="G281" s="20"/>
    </row>
    <row r="282" spans="6:7" s="18" customFormat="1" ht="14.25" customHeight="1" x14ac:dyDescent="0.35">
      <c r="F282" s="19"/>
      <c r="G282" s="20"/>
    </row>
    <row r="283" spans="6:7" s="18" customFormat="1" ht="14.25" customHeight="1" x14ac:dyDescent="0.35">
      <c r="F283" s="19"/>
      <c r="G283" s="20"/>
    </row>
    <row r="284" spans="6:7" s="18" customFormat="1" ht="14.25" customHeight="1" x14ac:dyDescent="0.35">
      <c r="F284" s="19"/>
      <c r="G284" s="20"/>
    </row>
    <row r="285" spans="6:7" s="18" customFormat="1" ht="14.25" customHeight="1" x14ac:dyDescent="0.35">
      <c r="F285" s="19"/>
      <c r="G285" s="20"/>
    </row>
    <row r="286" spans="6:7" s="18" customFormat="1" ht="14.25" customHeight="1" x14ac:dyDescent="0.35">
      <c r="F286" s="19"/>
      <c r="G286" s="20"/>
    </row>
    <row r="287" spans="6:7" s="18" customFormat="1" ht="14.25" customHeight="1" x14ac:dyDescent="0.35">
      <c r="F287" s="19"/>
      <c r="G287" s="20"/>
    </row>
    <row r="288" spans="6:7" s="18" customFormat="1" ht="14.25" customHeight="1" x14ac:dyDescent="0.35">
      <c r="F288" s="19"/>
      <c r="G288" s="20"/>
    </row>
    <row r="289" spans="6:7" s="18" customFormat="1" ht="14.25" customHeight="1" x14ac:dyDescent="0.35">
      <c r="F289" s="19"/>
      <c r="G289" s="20"/>
    </row>
    <row r="290" spans="6:7" s="18" customFormat="1" ht="14.25" customHeight="1" x14ac:dyDescent="0.35">
      <c r="F290" s="19"/>
      <c r="G290" s="20"/>
    </row>
    <row r="291" spans="6:7" s="18" customFormat="1" ht="14.25" customHeight="1" x14ac:dyDescent="0.35">
      <c r="F291" s="19"/>
      <c r="G291" s="20"/>
    </row>
    <row r="292" spans="6:7" s="18" customFormat="1" ht="14.25" customHeight="1" x14ac:dyDescent="0.35">
      <c r="F292" s="19"/>
      <c r="G292" s="20"/>
    </row>
    <row r="293" spans="6:7" s="18" customFormat="1" ht="14.25" customHeight="1" x14ac:dyDescent="0.35">
      <c r="F293" s="19"/>
      <c r="G293" s="20"/>
    </row>
    <row r="294" spans="6:7" s="18" customFormat="1" ht="14.25" customHeight="1" x14ac:dyDescent="0.35">
      <c r="F294" s="19"/>
      <c r="G294" s="20"/>
    </row>
    <row r="295" spans="6:7" s="18" customFormat="1" ht="14.25" customHeight="1" x14ac:dyDescent="0.35">
      <c r="F295" s="19"/>
      <c r="G295" s="20"/>
    </row>
    <row r="296" spans="6:7" s="18" customFormat="1" ht="14.25" customHeight="1" x14ac:dyDescent="0.35">
      <c r="F296" s="19"/>
      <c r="G296" s="20"/>
    </row>
    <row r="297" spans="6:7" s="18" customFormat="1" ht="14.25" customHeight="1" x14ac:dyDescent="0.35">
      <c r="F297" s="19"/>
      <c r="G297" s="20"/>
    </row>
    <row r="298" spans="6:7" s="18" customFormat="1" ht="14.25" customHeight="1" x14ac:dyDescent="0.35">
      <c r="F298" s="19"/>
      <c r="G298" s="20"/>
    </row>
    <row r="299" spans="6:7" s="18" customFormat="1" ht="14.25" customHeight="1" x14ac:dyDescent="0.35">
      <c r="F299" s="19"/>
      <c r="G299" s="20"/>
    </row>
    <row r="300" spans="6:7" s="18" customFormat="1" ht="14.25" customHeight="1" x14ac:dyDescent="0.35">
      <c r="F300" s="19"/>
      <c r="G300" s="20"/>
    </row>
    <row r="301" spans="6:7" s="18" customFormat="1" ht="14.25" customHeight="1" x14ac:dyDescent="0.35">
      <c r="F301" s="19"/>
      <c r="G301" s="20"/>
    </row>
    <row r="302" spans="6:7" s="18" customFormat="1" ht="14.25" customHeight="1" x14ac:dyDescent="0.35">
      <c r="F302" s="19"/>
      <c r="G302" s="20"/>
    </row>
    <row r="303" spans="6:7" s="18" customFormat="1" ht="14.25" customHeight="1" x14ac:dyDescent="0.35">
      <c r="F303" s="19"/>
      <c r="G303" s="20"/>
    </row>
    <row r="304" spans="6:7" s="18" customFormat="1" ht="14.25" customHeight="1" x14ac:dyDescent="0.35">
      <c r="F304" s="19"/>
      <c r="G304" s="20"/>
    </row>
    <row r="305" spans="6:7" s="18" customFormat="1" ht="14.25" customHeight="1" x14ac:dyDescent="0.35">
      <c r="F305" s="19"/>
      <c r="G305" s="20"/>
    </row>
    <row r="306" spans="6:7" s="18" customFormat="1" ht="14.25" customHeight="1" x14ac:dyDescent="0.35">
      <c r="F306" s="19"/>
      <c r="G306" s="20"/>
    </row>
    <row r="307" spans="6:7" s="18" customFormat="1" ht="14.25" customHeight="1" x14ac:dyDescent="0.35">
      <c r="F307" s="19"/>
      <c r="G307" s="20"/>
    </row>
    <row r="308" spans="6:7" s="18" customFormat="1" ht="14.25" customHeight="1" x14ac:dyDescent="0.35">
      <c r="F308" s="19"/>
      <c r="G308" s="20"/>
    </row>
    <row r="309" spans="6:7" s="18" customFormat="1" ht="14.25" customHeight="1" x14ac:dyDescent="0.35">
      <c r="F309" s="19"/>
      <c r="G309" s="20"/>
    </row>
    <row r="310" spans="6:7" s="18" customFormat="1" ht="14.25" customHeight="1" x14ac:dyDescent="0.35">
      <c r="F310" s="19"/>
      <c r="G310" s="20"/>
    </row>
    <row r="311" spans="6:7" s="18" customFormat="1" ht="14.25" customHeight="1" x14ac:dyDescent="0.35">
      <c r="F311" s="19"/>
      <c r="G311" s="20"/>
    </row>
    <row r="312" spans="6:7" s="18" customFormat="1" ht="14.25" customHeight="1" x14ac:dyDescent="0.35">
      <c r="F312" s="19"/>
      <c r="G312" s="20"/>
    </row>
    <row r="313" spans="6:7" s="18" customFormat="1" ht="14.25" customHeight="1" x14ac:dyDescent="0.35">
      <c r="F313" s="19"/>
      <c r="G313" s="20"/>
    </row>
    <row r="314" spans="6:7" s="18" customFormat="1" ht="14.25" customHeight="1" x14ac:dyDescent="0.35">
      <c r="F314" s="19"/>
      <c r="G314" s="20"/>
    </row>
    <row r="315" spans="6:7" s="18" customFormat="1" ht="14.25" customHeight="1" x14ac:dyDescent="0.35">
      <c r="F315" s="19"/>
      <c r="G315" s="20"/>
    </row>
    <row r="316" spans="6:7" s="18" customFormat="1" ht="14.25" customHeight="1" x14ac:dyDescent="0.35">
      <c r="F316" s="19"/>
      <c r="G316" s="20"/>
    </row>
    <row r="317" spans="6:7" s="18" customFormat="1" ht="14.25" customHeight="1" x14ac:dyDescent="0.35">
      <c r="F317" s="19"/>
      <c r="G317" s="20"/>
    </row>
    <row r="318" spans="6:7" s="18" customFormat="1" ht="14.25" customHeight="1" x14ac:dyDescent="0.35">
      <c r="F318" s="19"/>
      <c r="G318" s="20"/>
    </row>
    <row r="319" spans="6:7" s="18" customFormat="1" ht="14.25" customHeight="1" x14ac:dyDescent="0.35">
      <c r="F319" s="19"/>
      <c r="G319" s="20"/>
    </row>
    <row r="320" spans="6:7" s="18" customFormat="1" ht="14.25" customHeight="1" x14ac:dyDescent="0.35">
      <c r="F320" s="19"/>
      <c r="G320" s="20"/>
    </row>
    <row r="321" spans="6:7" s="18" customFormat="1" ht="14.25" customHeight="1" x14ac:dyDescent="0.35">
      <c r="F321" s="19"/>
      <c r="G321" s="20"/>
    </row>
    <row r="322" spans="6:7" s="18" customFormat="1" ht="14.25" customHeight="1" x14ac:dyDescent="0.35">
      <c r="F322" s="19"/>
      <c r="G322" s="20"/>
    </row>
    <row r="323" spans="6:7" s="18" customFormat="1" ht="14.25" customHeight="1" x14ac:dyDescent="0.35">
      <c r="F323" s="19"/>
      <c r="G323" s="20"/>
    </row>
    <row r="324" spans="6:7" s="18" customFormat="1" ht="14.25" customHeight="1" x14ac:dyDescent="0.35">
      <c r="F324" s="19"/>
      <c r="G324" s="20"/>
    </row>
    <row r="325" spans="6:7" s="18" customFormat="1" ht="14.25" customHeight="1" x14ac:dyDescent="0.35">
      <c r="F325" s="19"/>
      <c r="G325" s="20"/>
    </row>
    <row r="326" spans="6:7" s="18" customFormat="1" ht="14.25" customHeight="1" x14ac:dyDescent="0.35">
      <c r="F326" s="19"/>
      <c r="G326" s="20"/>
    </row>
    <row r="327" spans="6:7" s="18" customFormat="1" ht="14.25" customHeight="1" x14ac:dyDescent="0.35">
      <c r="F327" s="19"/>
      <c r="G327" s="20"/>
    </row>
    <row r="328" spans="6:7" s="18" customFormat="1" ht="14.25" customHeight="1" x14ac:dyDescent="0.35">
      <c r="F328" s="19"/>
      <c r="G328" s="20"/>
    </row>
    <row r="329" spans="6:7" s="18" customFormat="1" ht="14.25" customHeight="1" x14ac:dyDescent="0.35">
      <c r="F329" s="19"/>
      <c r="G329" s="20"/>
    </row>
    <row r="330" spans="6:7" s="18" customFormat="1" ht="14.25" customHeight="1" x14ac:dyDescent="0.35">
      <c r="F330" s="19"/>
      <c r="G330" s="20"/>
    </row>
    <row r="331" spans="6:7" s="18" customFormat="1" ht="14.25" customHeight="1" x14ac:dyDescent="0.35">
      <c r="F331" s="19"/>
      <c r="G331" s="20"/>
    </row>
    <row r="332" spans="6:7" s="18" customFormat="1" ht="14.25" customHeight="1" x14ac:dyDescent="0.35">
      <c r="F332" s="19"/>
      <c r="G332" s="20"/>
    </row>
    <row r="333" spans="6:7" s="18" customFormat="1" ht="14.25" customHeight="1" x14ac:dyDescent="0.35">
      <c r="F333" s="19"/>
      <c r="G333" s="20"/>
    </row>
    <row r="334" spans="6:7" s="18" customFormat="1" ht="14.25" customHeight="1" x14ac:dyDescent="0.35">
      <c r="F334" s="19"/>
      <c r="G334" s="20"/>
    </row>
    <row r="335" spans="6:7" s="18" customFormat="1" ht="14.25" customHeight="1" x14ac:dyDescent="0.35">
      <c r="F335" s="19"/>
      <c r="G335" s="20"/>
    </row>
    <row r="336" spans="6:7" s="18" customFormat="1" ht="14.25" customHeight="1" x14ac:dyDescent="0.35">
      <c r="F336" s="19"/>
      <c r="G336" s="20"/>
    </row>
    <row r="337" spans="6:7" s="18" customFormat="1" ht="14.25" customHeight="1" x14ac:dyDescent="0.35">
      <c r="F337" s="19"/>
      <c r="G337" s="20"/>
    </row>
    <row r="338" spans="6:7" s="18" customFormat="1" ht="14.25" customHeight="1" x14ac:dyDescent="0.35">
      <c r="F338" s="19"/>
      <c r="G338" s="20"/>
    </row>
    <row r="339" spans="6:7" s="18" customFormat="1" ht="14.25" customHeight="1" x14ac:dyDescent="0.35">
      <c r="F339" s="19"/>
      <c r="G339" s="20"/>
    </row>
    <row r="340" spans="6:7" s="18" customFormat="1" ht="14.25" customHeight="1" x14ac:dyDescent="0.35">
      <c r="F340" s="19"/>
      <c r="G340" s="20"/>
    </row>
    <row r="341" spans="6:7" s="18" customFormat="1" ht="14.25" customHeight="1" x14ac:dyDescent="0.35">
      <c r="F341" s="19"/>
      <c r="G341" s="20"/>
    </row>
    <row r="342" spans="6:7" s="18" customFormat="1" ht="14.25" customHeight="1" x14ac:dyDescent="0.35">
      <c r="F342" s="19"/>
      <c r="G342" s="20"/>
    </row>
    <row r="343" spans="6:7" s="18" customFormat="1" ht="14.25" customHeight="1" x14ac:dyDescent="0.35">
      <c r="F343" s="19"/>
      <c r="G343" s="20"/>
    </row>
    <row r="344" spans="6:7" s="18" customFormat="1" ht="14.25" customHeight="1" x14ac:dyDescent="0.35">
      <c r="F344" s="19"/>
      <c r="G344" s="20"/>
    </row>
    <row r="345" spans="6:7" s="18" customFormat="1" ht="14.25" customHeight="1" x14ac:dyDescent="0.35">
      <c r="F345" s="19"/>
      <c r="G345" s="20"/>
    </row>
    <row r="346" spans="6:7" s="18" customFormat="1" ht="14.25" customHeight="1" x14ac:dyDescent="0.35">
      <c r="F346" s="19"/>
      <c r="G346" s="20"/>
    </row>
    <row r="347" spans="6:7" s="18" customFormat="1" ht="14.25" customHeight="1" x14ac:dyDescent="0.35">
      <c r="F347" s="19"/>
      <c r="G347" s="20"/>
    </row>
    <row r="348" spans="6:7" s="18" customFormat="1" ht="14.25" customHeight="1" x14ac:dyDescent="0.35">
      <c r="F348" s="19"/>
      <c r="G348" s="20"/>
    </row>
    <row r="349" spans="6:7" s="18" customFormat="1" ht="14.25" customHeight="1" x14ac:dyDescent="0.35">
      <c r="F349" s="19"/>
      <c r="G349" s="20"/>
    </row>
    <row r="350" spans="6:7" s="18" customFormat="1" ht="14.25" customHeight="1" x14ac:dyDescent="0.35">
      <c r="F350" s="19"/>
      <c r="G350" s="20"/>
    </row>
    <row r="351" spans="6:7" s="18" customFormat="1" ht="14.25" customHeight="1" x14ac:dyDescent="0.35">
      <c r="F351" s="19"/>
      <c r="G351" s="20"/>
    </row>
    <row r="352" spans="6:7" s="18" customFormat="1" ht="14.25" customHeight="1" x14ac:dyDescent="0.35">
      <c r="F352" s="19"/>
      <c r="G352" s="20"/>
    </row>
    <row r="353" spans="6:7" s="18" customFormat="1" ht="14.25" customHeight="1" x14ac:dyDescent="0.35">
      <c r="F353" s="19"/>
      <c r="G353" s="20"/>
    </row>
    <row r="354" spans="6:7" s="18" customFormat="1" ht="14.25" customHeight="1" x14ac:dyDescent="0.35">
      <c r="F354" s="19"/>
      <c r="G354" s="20"/>
    </row>
    <row r="355" spans="6:7" s="18" customFormat="1" ht="14.25" customHeight="1" x14ac:dyDescent="0.35">
      <c r="F355" s="19"/>
      <c r="G355" s="20"/>
    </row>
    <row r="356" spans="6:7" s="18" customFormat="1" ht="14.25" customHeight="1" x14ac:dyDescent="0.35">
      <c r="F356" s="19"/>
      <c r="G356" s="20"/>
    </row>
    <row r="357" spans="6:7" s="18" customFormat="1" ht="14.25" customHeight="1" x14ac:dyDescent="0.35">
      <c r="F357" s="19"/>
      <c r="G357" s="20"/>
    </row>
    <row r="358" spans="6:7" s="18" customFormat="1" ht="14.25" customHeight="1" x14ac:dyDescent="0.35">
      <c r="F358" s="19"/>
      <c r="G358" s="20"/>
    </row>
    <row r="359" spans="6:7" s="18" customFormat="1" ht="14.25" customHeight="1" x14ac:dyDescent="0.35">
      <c r="F359" s="19"/>
      <c r="G359" s="20"/>
    </row>
    <row r="360" spans="6:7" s="18" customFormat="1" ht="14.25" customHeight="1" x14ac:dyDescent="0.35">
      <c r="F360" s="19"/>
      <c r="G360" s="20"/>
    </row>
    <row r="361" spans="6:7" s="18" customFormat="1" ht="14.25" customHeight="1" x14ac:dyDescent="0.35">
      <c r="F361" s="19"/>
      <c r="G361" s="20"/>
    </row>
    <row r="362" spans="6:7" s="18" customFormat="1" ht="14.25" customHeight="1" x14ac:dyDescent="0.35">
      <c r="F362" s="19"/>
      <c r="G362" s="20"/>
    </row>
    <row r="363" spans="6:7" s="18" customFormat="1" ht="14.25" customHeight="1" x14ac:dyDescent="0.35">
      <c r="F363" s="19"/>
      <c r="G363" s="20"/>
    </row>
    <row r="364" spans="6:7" s="18" customFormat="1" ht="14.25" customHeight="1" x14ac:dyDescent="0.35">
      <c r="F364" s="19"/>
      <c r="G364" s="20"/>
    </row>
    <row r="365" spans="6:7" s="18" customFormat="1" ht="14.25" customHeight="1" x14ac:dyDescent="0.35">
      <c r="F365" s="19"/>
      <c r="G365" s="20"/>
    </row>
    <row r="366" spans="6:7" s="18" customFormat="1" ht="14.25" customHeight="1" x14ac:dyDescent="0.35">
      <c r="F366" s="19"/>
      <c r="G366" s="20"/>
    </row>
    <row r="367" spans="6:7" s="18" customFormat="1" ht="14.25" customHeight="1" x14ac:dyDescent="0.35">
      <c r="F367" s="19"/>
      <c r="G367" s="20"/>
    </row>
    <row r="368" spans="6:7" s="18" customFormat="1" ht="14.25" customHeight="1" x14ac:dyDescent="0.35">
      <c r="F368" s="19"/>
      <c r="G368" s="20"/>
    </row>
    <row r="369" spans="6:7" s="18" customFormat="1" ht="14.25" customHeight="1" x14ac:dyDescent="0.35">
      <c r="F369" s="19"/>
      <c r="G369" s="20"/>
    </row>
    <row r="370" spans="6:7" s="18" customFormat="1" ht="14.25" customHeight="1" x14ac:dyDescent="0.35">
      <c r="F370" s="19"/>
      <c r="G370" s="20"/>
    </row>
    <row r="371" spans="6:7" s="18" customFormat="1" ht="14.25" customHeight="1" x14ac:dyDescent="0.35">
      <c r="F371" s="19"/>
      <c r="G371" s="20"/>
    </row>
    <row r="372" spans="6:7" s="18" customFormat="1" ht="14.25" customHeight="1" x14ac:dyDescent="0.35">
      <c r="F372" s="19"/>
      <c r="G372" s="20"/>
    </row>
    <row r="373" spans="6:7" s="18" customFormat="1" ht="14.25" customHeight="1" x14ac:dyDescent="0.35">
      <c r="F373" s="19"/>
      <c r="G373" s="20"/>
    </row>
    <row r="374" spans="6:7" s="18" customFormat="1" ht="14.25" customHeight="1" x14ac:dyDescent="0.35">
      <c r="F374" s="19"/>
      <c r="G374" s="20"/>
    </row>
    <row r="375" spans="6:7" s="18" customFormat="1" ht="14.25" customHeight="1" x14ac:dyDescent="0.35">
      <c r="F375" s="19"/>
      <c r="G375" s="20"/>
    </row>
    <row r="376" spans="6:7" s="18" customFormat="1" ht="14.25" customHeight="1" x14ac:dyDescent="0.35">
      <c r="F376" s="19"/>
      <c r="G376" s="20"/>
    </row>
    <row r="377" spans="6:7" s="18" customFormat="1" ht="14.25" customHeight="1" x14ac:dyDescent="0.35">
      <c r="F377" s="19"/>
      <c r="G377" s="20"/>
    </row>
    <row r="378" spans="6:7" s="18" customFormat="1" ht="14.25" customHeight="1" x14ac:dyDescent="0.35">
      <c r="F378" s="19"/>
      <c r="G378" s="20"/>
    </row>
    <row r="379" spans="6:7" s="18" customFormat="1" ht="14.25" customHeight="1" x14ac:dyDescent="0.35">
      <c r="F379" s="19"/>
      <c r="G379" s="20"/>
    </row>
    <row r="380" spans="6:7" s="18" customFormat="1" ht="14.25" customHeight="1" x14ac:dyDescent="0.35">
      <c r="F380" s="19"/>
      <c r="G380" s="20"/>
    </row>
    <row r="381" spans="6:7" s="18" customFormat="1" ht="14.25" customHeight="1" x14ac:dyDescent="0.35">
      <c r="F381" s="19"/>
      <c r="G381" s="20"/>
    </row>
    <row r="382" spans="6:7" s="18" customFormat="1" ht="14.25" customHeight="1" x14ac:dyDescent="0.35">
      <c r="F382" s="19"/>
      <c r="G382" s="20"/>
    </row>
    <row r="383" spans="6:7" s="18" customFormat="1" ht="14.25" customHeight="1" x14ac:dyDescent="0.35">
      <c r="F383" s="19"/>
      <c r="G383" s="20"/>
    </row>
    <row r="384" spans="6:7" s="18" customFormat="1" ht="14.25" customHeight="1" x14ac:dyDescent="0.35">
      <c r="F384" s="19"/>
      <c r="G384" s="20"/>
    </row>
    <row r="385" spans="6:7" s="18" customFormat="1" ht="14.25" customHeight="1" x14ac:dyDescent="0.35">
      <c r="F385" s="19"/>
      <c r="G385" s="20"/>
    </row>
    <row r="386" spans="6:7" s="18" customFormat="1" ht="14.25" customHeight="1" x14ac:dyDescent="0.35">
      <c r="F386" s="19"/>
      <c r="G386" s="20"/>
    </row>
    <row r="387" spans="6:7" s="18" customFormat="1" ht="14.25" customHeight="1" x14ac:dyDescent="0.35">
      <c r="F387" s="19"/>
      <c r="G387" s="20"/>
    </row>
    <row r="388" spans="6:7" s="18" customFormat="1" ht="14.25" customHeight="1" x14ac:dyDescent="0.35">
      <c r="F388" s="19"/>
      <c r="G388" s="20"/>
    </row>
    <row r="389" spans="6:7" s="18" customFormat="1" ht="14.25" customHeight="1" x14ac:dyDescent="0.35">
      <c r="F389" s="19"/>
      <c r="G389" s="20"/>
    </row>
    <row r="390" spans="6:7" s="18" customFormat="1" ht="14.25" customHeight="1" x14ac:dyDescent="0.35">
      <c r="F390" s="19"/>
      <c r="G390" s="20"/>
    </row>
    <row r="391" spans="6:7" s="18" customFormat="1" ht="14.25" customHeight="1" x14ac:dyDescent="0.35">
      <c r="F391" s="19"/>
      <c r="G391" s="20"/>
    </row>
    <row r="392" spans="6:7" s="18" customFormat="1" ht="14.25" customHeight="1" x14ac:dyDescent="0.35">
      <c r="F392" s="19"/>
      <c r="G392" s="20"/>
    </row>
    <row r="393" spans="6:7" s="18" customFormat="1" ht="14.25" customHeight="1" x14ac:dyDescent="0.35">
      <c r="F393" s="19"/>
      <c r="G393" s="20"/>
    </row>
    <row r="394" spans="6:7" s="18" customFormat="1" ht="14.25" customHeight="1" x14ac:dyDescent="0.35">
      <c r="F394" s="19"/>
      <c r="G394" s="20"/>
    </row>
    <row r="395" spans="6:7" s="18" customFormat="1" ht="14.25" customHeight="1" x14ac:dyDescent="0.35">
      <c r="F395" s="19"/>
      <c r="G395" s="20"/>
    </row>
    <row r="396" spans="6:7" s="18" customFormat="1" ht="14.25" customHeight="1" x14ac:dyDescent="0.35">
      <c r="F396" s="19"/>
      <c r="G396" s="20"/>
    </row>
    <row r="397" spans="6:7" s="18" customFormat="1" ht="14.25" customHeight="1" x14ac:dyDescent="0.35">
      <c r="F397" s="19"/>
      <c r="G397" s="20"/>
    </row>
    <row r="398" spans="6:7" s="18" customFormat="1" ht="14.25" customHeight="1" x14ac:dyDescent="0.35">
      <c r="F398" s="19"/>
      <c r="G398" s="20"/>
    </row>
    <row r="399" spans="6:7" s="18" customFormat="1" ht="14.25" customHeight="1" x14ac:dyDescent="0.35">
      <c r="F399" s="19"/>
      <c r="G399" s="20"/>
    </row>
    <row r="400" spans="6:7" s="18" customFormat="1" ht="14.25" customHeight="1" x14ac:dyDescent="0.35">
      <c r="F400" s="19"/>
      <c r="G400" s="20"/>
    </row>
    <row r="401" spans="6:7" s="18" customFormat="1" ht="14.25" customHeight="1" x14ac:dyDescent="0.35">
      <c r="F401" s="19"/>
      <c r="G401" s="20"/>
    </row>
    <row r="402" spans="6:7" s="18" customFormat="1" ht="14.25" customHeight="1" x14ac:dyDescent="0.35">
      <c r="F402" s="19"/>
      <c r="G402" s="20"/>
    </row>
    <row r="403" spans="6:7" s="18" customFormat="1" ht="14.25" customHeight="1" x14ac:dyDescent="0.35">
      <c r="F403" s="19"/>
      <c r="G403" s="20"/>
    </row>
    <row r="404" spans="6:7" s="18" customFormat="1" ht="14.25" customHeight="1" x14ac:dyDescent="0.35">
      <c r="F404" s="19"/>
      <c r="G404" s="20"/>
    </row>
    <row r="405" spans="6:7" s="18" customFormat="1" ht="14.25" customHeight="1" x14ac:dyDescent="0.35">
      <c r="F405" s="19"/>
      <c r="G405" s="20"/>
    </row>
    <row r="406" spans="6:7" s="18" customFormat="1" ht="14.25" customHeight="1" x14ac:dyDescent="0.35">
      <c r="F406" s="19"/>
      <c r="G406" s="20"/>
    </row>
    <row r="407" spans="6:7" s="18" customFormat="1" ht="14.25" customHeight="1" x14ac:dyDescent="0.35">
      <c r="F407" s="19"/>
      <c r="G407" s="20"/>
    </row>
    <row r="408" spans="6:7" s="18" customFormat="1" ht="14.25" customHeight="1" x14ac:dyDescent="0.35">
      <c r="F408" s="19"/>
      <c r="G408" s="20"/>
    </row>
    <row r="409" spans="6:7" s="18" customFormat="1" ht="14.25" customHeight="1" x14ac:dyDescent="0.35">
      <c r="F409" s="19"/>
      <c r="G409" s="20"/>
    </row>
    <row r="410" spans="6:7" s="18" customFormat="1" ht="14.25" customHeight="1" x14ac:dyDescent="0.35">
      <c r="F410" s="19"/>
      <c r="G410" s="20"/>
    </row>
    <row r="411" spans="6:7" s="18" customFormat="1" ht="14.25" customHeight="1" x14ac:dyDescent="0.35">
      <c r="F411" s="19"/>
      <c r="G411" s="20"/>
    </row>
    <row r="412" spans="6:7" s="18" customFormat="1" ht="14.25" customHeight="1" x14ac:dyDescent="0.35">
      <c r="F412" s="19"/>
      <c r="G412" s="20"/>
    </row>
    <row r="413" spans="6:7" s="18" customFormat="1" ht="14.25" customHeight="1" x14ac:dyDescent="0.35">
      <c r="F413" s="19"/>
      <c r="G413" s="20"/>
    </row>
    <row r="414" spans="6:7" s="18" customFormat="1" ht="14.25" customHeight="1" x14ac:dyDescent="0.35">
      <c r="F414" s="19"/>
      <c r="G414" s="20"/>
    </row>
    <row r="415" spans="6:7" s="18" customFormat="1" ht="14.25" customHeight="1" x14ac:dyDescent="0.35">
      <c r="F415" s="19"/>
      <c r="G415" s="20"/>
    </row>
    <row r="416" spans="6:7" s="18" customFormat="1" ht="14.25" customHeight="1" x14ac:dyDescent="0.35">
      <c r="F416" s="19"/>
      <c r="G416" s="20"/>
    </row>
    <row r="417" spans="6:7" s="18" customFormat="1" ht="14.25" customHeight="1" x14ac:dyDescent="0.35">
      <c r="F417" s="19"/>
      <c r="G417" s="20"/>
    </row>
    <row r="418" spans="6:7" s="18" customFormat="1" ht="14.25" customHeight="1" x14ac:dyDescent="0.35">
      <c r="F418" s="19"/>
      <c r="G418" s="20"/>
    </row>
    <row r="419" spans="6:7" s="18" customFormat="1" ht="14.25" customHeight="1" x14ac:dyDescent="0.35">
      <c r="F419" s="19"/>
      <c r="G419" s="20"/>
    </row>
    <row r="420" spans="6:7" s="18" customFormat="1" ht="14.25" customHeight="1" x14ac:dyDescent="0.35">
      <c r="F420" s="19"/>
      <c r="G420" s="20"/>
    </row>
    <row r="421" spans="6:7" s="18" customFormat="1" ht="14.25" customHeight="1" x14ac:dyDescent="0.35">
      <c r="F421" s="19"/>
      <c r="G421" s="20"/>
    </row>
    <row r="422" spans="6:7" s="18" customFormat="1" ht="14.25" customHeight="1" x14ac:dyDescent="0.35">
      <c r="F422" s="19"/>
      <c r="G422" s="20"/>
    </row>
    <row r="423" spans="6:7" s="18" customFormat="1" ht="14.25" customHeight="1" x14ac:dyDescent="0.35">
      <c r="F423" s="19"/>
      <c r="G423" s="20"/>
    </row>
    <row r="424" spans="6:7" s="18" customFormat="1" ht="14.25" customHeight="1" x14ac:dyDescent="0.35">
      <c r="F424" s="19"/>
      <c r="G424" s="20"/>
    </row>
    <row r="425" spans="6:7" s="18" customFormat="1" ht="14.25" customHeight="1" x14ac:dyDescent="0.35">
      <c r="F425" s="19"/>
      <c r="G425" s="20"/>
    </row>
    <row r="426" spans="6:7" s="18" customFormat="1" ht="14.25" customHeight="1" x14ac:dyDescent="0.35">
      <c r="F426" s="19"/>
      <c r="G426" s="20"/>
    </row>
    <row r="427" spans="6:7" s="18" customFormat="1" ht="14.25" customHeight="1" x14ac:dyDescent="0.35">
      <c r="F427" s="19"/>
      <c r="G427" s="20"/>
    </row>
    <row r="428" spans="6:7" s="18" customFormat="1" ht="14.25" customHeight="1" x14ac:dyDescent="0.35">
      <c r="F428" s="19"/>
      <c r="G428" s="20"/>
    </row>
    <row r="429" spans="6:7" s="18" customFormat="1" ht="14.25" customHeight="1" x14ac:dyDescent="0.35">
      <c r="F429" s="19"/>
      <c r="G429" s="20"/>
    </row>
    <row r="430" spans="6:7" s="18" customFormat="1" ht="14.25" customHeight="1" x14ac:dyDescent="0.35">
      <c r="F430" s="19"/>
      <c r="G430" s="20"/>
    </row>
    <row r="431" spans="6:7" s="18" customFormat="1" ht="14.25" customHeight="1" x14ac:dyDescent="0.35">
      <c r="F431" s="19"/>
      <c r="G431" s="20"/>
    </row>
    <row r="432" spans="6:7" s="18" customFormat="1" ht="14.25" customHeight="1" x14ac:dyDescent="0.35">
      <c r="F432" s="19"/>
      <c r="G432" s="20"/>
    </row>
    <row r="433" spans="6:7" s="18" customFormat="1" ht="14.25" customHeight="1" x14ac:dyDescent="0.35">
      <c r="F433" s="19"/>
      <c r="G433" s="20"/>
    </row>
    <row r="434" spans="6:7" s="18" customFormat="1" ht="14.25" customHeight="1" x14ac:dyDescent="0.35">
      <c r="F434" s="19"/>
      <c r="G434" s="20"/>
    </row>
    <row r="435" spans="6:7" s="18" customFormat="1" ht="14.25" customHeight="1" x14ac:dyDescent="0.35">
      <c r="F435" s="19"/>
      <c r="G435" s="20"/>
    </row>
    <row r="436" spans="6:7" s="18" customFormat="1" ht="14.25" customHeight="1" x14ac:dyDescent="0.35">
      <c r="F436" s="19"/>
      <c r="G436" s="20"/>
    </row>
    <row r="437" spans="6:7" s="18" customFormat="1" ht="14.25" customHeight="1" x14ac:dyDescent="0.35">
      <c r="F437" s="19"/>
      <c r="G437" s="20"/>
    </row>
    <row r="438" spans="6:7" s="18" customFormat="1" ht="14.25" customHeight="1" x14ac:dyDescent="0.35">
      <c r="F438" s="19"/>
      <c r="G438" s="20"/>
    </row>
    <row r="439" spans="6:7" s="18" customFormat="1" ht="14.25" customHeight="1" x14ac:dyDescent="0.35">
      <c r="F439" s="19"/>
      <c r="G439" s="20"/>
    </row>
    <row r="440" spans="6:7" s="18" customFormat="1" ht="14.25" customHeight="1" x14ac:dyDescent="0.35">
      <c r="F440" s="19"/>
      <c r="G440" s="20"/>
    </row>
    <row r="441" spans="6:7" s="18" customFormat="1" ht="14.25" customHeight="1" x14ac:dyDescent="0.35">
      <c r="F441" s="19"/>
      <c r="G441" s="20"/>
    </row>
    <row r="442" spans="6:7" s="18" customFormat="1" ht="14.25" customHeight="1" x14ac:dyDescent="0.35">
      <c r="F442" s="19"/>
      <c r="G442" s="20"/>
    </row>
    <row r="443" spans="6:7" s="18" customFormat="1" ht="14.25" customHeight="1" x14ac:dyDescent="0.35">
      <c r="F443" s="19"/>
      <c r="G443" s="20"/>
    </row>
    <row r="444" spans="6:7" s="18" customFormat="1" ht="14.25" customHeight="1" x14ac:dyDescent="0.35">
      <c r="F444" s="19"/>
      <c r="G444" s="20"/>
    </row>
    <row r="445" spans="6:7" s="18" customFormat="1" ht="14.25" customHeight="1" x14ac:dyDescent="0.35">
      <c r="F445" s="19"/>
      <c r="G445" s="20"/>
    </row>
    <row r="446" spans="6:7" s="18" customFormat="1" ht="14.25" customHeight="1" x14ac:dyDescent="0.35">
      <c r="F446" s="19"/>
      <c r="G446" s="20"/>
    </row>
    <row r="447" spans="6:7" s="18" customFormat="1" ht="14.25" customHeight="1" x14ac:dyDescent="0.35">
      <c r="F447" s="19"/>
      <c r="G447" s="20"/>
    </row>
    <row r="448" spans="6:7" s="18" customFormat="1" ht="14.25" customHeight="1" x14ac:dyDescent="0.35">
      <c r="F448" s="19"/>
      <c r="G448" s="20"/>
    </row>
    <row r="449" spans="6:7" s="18" customFormat="1" ht="14.25" customHeight="1" x14ac:dyDescent="0.35">
      <c r="F449" s="19"/>
      <c r="G449" s="20"/>
    </row>
    <row r="450" spans="6:7" s="18" customFormat="1" ht="14.25" customHeight="1" x14ac:dyDescent="0.35">
      <c r="F450" s="19"/>
      <c r="G450" s="20"/>
    </row>
    <row r="451" spans="6:7" s="18" customFormat="1" ht="14.25" customHeight="1" x14ac:dyDescent="0.35">
      <c r="F451" s="19"/>
      <c r="G451" s="20"/>
    </row>
    <row r="452" spans="6:7" s="18" customFormat="1" ht="14.25" customHeight="1" x14ac:dyDescent="0.35">
      <c r="F452" s="19"/>
      <c r="G452" s="20"/>
    </row>
    <row r="453" spans="6:7" s="18" customFormat="1" ht="14.25" customHeight="1" x14ac:dyDescent="0.35">
      <c r="F453" s="19"/>
      <c r="G453" s="20"/>
    </row>
    <row r="454" spans="6:7" s="18" customFormat="1" ht="14.25" customHeight="1" x14ac:dyDescent="0.35">
      <c r="F454" s="19"/>
      <c r="G454" s="20"/>
    </row>
    <row r="455" spans="6:7" s="18" customFormat="1" ht="14.25" customHeight="1" x14ac:dyDescent="0.35">
      <c r="F455" s="19"/>
      <c r="G455" s="20"/>
    </row>
    <row r="456" spans="6:7" s="18" customFormat="1" ht="14.25" customHeight="1" x14ac:dyDescent="0.35">
      <c r="F456" s="19"/>
      <c r="G456" s="20"/>
    </row>
    <row r="457" spans="6:7" s="18" customFormat="1" ht="14.25" customHeight="1" x14ac:dyDescent="0.35">
      <c r="F457" s="19"/>
      <c r="G457" s="20"/>
    </row>
    <row r="458" spans="6:7" s="18" customFormat="1" ht="14.25" customHeight="1" x14ac:dyDescent="0.35">
      <c r="F458" s="19"/>
      <c r="G458" s="20"/>
    </row>
    <row r="459" spans="6:7" s="18" customFormat="1" ht="14.25" customHeight="1" x14ac:dyDescent="0.35">
      <c r="F459" s="19"/>
      <c r="G459" s="20"/>
    </row>
    <row r="460" spans="6:7" s="18" customFormat="1" ht="14.25" customHeight="1" x14ac:dyDescent="0.35">
      <c r="F460" s="19"/>
      <c r="G460" s="20"/>
    </row>
    <row r="461" spans="6:7" s="18" customFormat="1" ht="14.25" customHeight="1" x14ac:dyDescent="0.35">
      <c r="F461" s="19"/>
      <c r="G461" s="20"/>
    </row>
    <row r="462" spans="6:7" s="18" customFormat="1" ht="14.25" customHeight="1" x14ac:dyDescent="0.35">
      <c r="F462" s="19"/>
      <c r="G462" s="20"/>
    </row>
    <row r="463" spans="6:7" s="18" customFormat="1" ht="14.25" customHeight="1" x14ac:dyDescent="0.35">
      <c r="F463" s="19"/>
      <c r="G463" s="20"/>
    </row>
    <row r="464" spans="6:7" s="18" customFormat="1" ht="14.25" customHeight="1" x14ac:dyDescent="0.35">
      <c r="F464" s="19"/>
      <c r="G464" s="20"/>
    </row>
    <row r="465" spans="6:7" s="18" customFormat="1" ht="14.25" customHeight="1" x14ac:dyDescent="0.35">
      <c r="F465" s="19"/>
      <c r="G465" s="20"/>
    </row>
    <row r="466" spans="6:7" s="18" customFormat="1" ht="14.25" customHeight="1" x14ac:dyDescent="0.35">
      <c r="F466" s="19"/>
      <c r="G466" s="20"/>
    </row>
    <row r="467" spans="6:7" s="18" customFormat="1" ht="14.25" customHeight="1" x14ac:dyDescent="0.35">
      <c r="F467" s="19"/>
      <c r="G467" s="20"/>
    </row>
    <row r="468" spans="6:7" s="18" customFormat="1" ht="14.25" customHeight="1" x14ac:dyDescent="0.35">
      <c r="F468" s="19"/>
      <c r="G468" s="20"/>
    </row>
    <row r="469" spans="6:7" s="18" customFormat="1" ht="14.25" customHeight="1" x14ac:dyDescent="0.35">
      <c r="F469" s="19"/>
      <c r="G469" s="20"/>
    </row>
    <row r="470" spans="6:7" s="18" customFormat="1" ht="14.25" customHeight="1" x14ac:dyDescent="0.35">
      <c r="F470" s="19"/>
      <c r="G470" s="20"/>
    </row>
    <row r="471" spans="6:7" s="18" customFormat="1" ht="14.25" customHeight="1" x14ac:dyDescent="0.35">
      <c r="F471" s="19"/>
      <c r="G471" s="20"/>
    </row>
    <row r="472" spans="6:7" s="18" customFormat="1" ht="14.25" customHeight="1" x14ac:dyDescent="0.35">
      <c r="F472" s="19"/>
      <c r="G472" s="20"/>
    </row>
    <row r="473" spans="6:7" s="18" customFormat="1" ht="14.25" customHeight="1" x14ac:dyDescent="0.35">
      <c r="F473" s="19"/>
      <c r="G473" s="20"/>
    </row>
    <row r="474" spans="6:7" s="18" customFormat="1" ht="14.25" customHeight="1" x14ac:dyDescent="0.35">
      <c r="F474" s="19"/>
      <c r="G474" s="20"/>
    </row>
    <row r="475" spans="6:7" s="18" customFormat="1" ht="14.25" customHeight="1" x14ac:dyDescent="0.35">
      <c r="F475" s="19"/>
      <c r="G475" s="20"/>
    </row>
    <row r="476" spans="6:7" s="18" customFormat="1" ht="14.25" customHeight="1" x14ac:dyDescent="0.35">
      <c r="F476" s="19"/>
      <c r="G476" s="20"/>
    </row>
    <row r="477" spans="6:7" s="18" customFormat="1" ht="14.25" customHeight="1" x14ac:dyDescent="0.35">
      <c r="F477" s="19"/>
      <c r="G477" s="20"/>
    </row>
    <row r="478" spans="6:7" s="18" customFormat="1" ht="14.25" customHeight="1" x14ac:dyDescent="0.35">
      <c r="F478" s="19"/>
      <c r="G478" s="20"/>
    </row>
    <row r="479" spans="6:7" s="18" customFormat="1" ht="14.25" customHeight="1" x14ac:dyDescent="0.35">
      <c r="F479" s="19"/>
      <c r="G479" s="20"/>
    </row>
    <row r="480" spans="6:7" s="18" customFormat="1" ht="14.25" customHeight="1" x14ac:dyDescent="0.35">
      <c r="F480" s="19"/>
      <c r="G480" s="20"/>
    </row>
    <row r="481" spans="6:7" s="18" customFormat="1" ht="14.25" customHeight="1" x14ac:dyDescent="0.35">
      <c r="F481" s="19"/>
      <c r="G481" s="20"/>
    </row>
    <row r="482" spans="6:7" s="18" customFormat="1" ht="14.25" customHeight="1" x14ac:dyDescent="0.35">
      <c r="F482" s="19"/>
      <c r="G482" s="20"/>
    </row>
    <row r="483" spans="6:7" s="18" customFormat="1" ht="14.25" customHeight="1" x14ac:dyDescent="0.35">
      <c r="F483" s="19"/>
      <c r="G483" s="20"/>
    </row>
    <row r="484" spans="6:7" s="18" customFormat="1" ht="14.25" customHeight="1" x14ac:dyDescent="0.35">
      <c r="F484" s="19"/>
      <c r="G484" s="20"/>
    </row>
    <row r="485" spans="6:7" s="18" customFormat="1" ht="14.25" customHeight="1" x14ac:dyDescent="0.35">
      <c r="F485" s="19"/>
      <c r="G485" s="20"/>
    </row>
    <row r="486" spans="6:7" s="18" customFormat="1" ht="14.25" customHeight="1" x14ac:dyDescent="0.35">
      <c r="F486" s="19"/>
      <c r="G486" s="20"/>
    </row>
    <row r="487" spans="6:7" s="18" customFormat="1" ht="14.25" customHeight="1" x14ac:dyDescent="0.35">
      <c r="F487" s="19"/>
      <c r="G487" s="20"/>
    </row>
    <row r="488" spans="6:7" s="18" customFormat="1" ht="14.25" customHeight="1" x14ac:dyDescent="0.35">
      <c r="F488" s="19"/>
      <c r="G488" s="20"/>
    </row>
    <row r="489" spans="6:7" s="18" customFormat="1" ht="14.25" customHeight="1" x14ac:dyDescent="0.35">
      <c r="F489" s="19"/>
      <c r="G489" s="20"/>
    </row>
    <row r="490" spans="6:7" s="18" customFormat="1" ht="14.25" customHeight="1" x14ac:dyDescent="0.35">
      <c r="F490" s="19"/>
      <c r="G490" s="20"/>
    </row>
    <row r="491" spans="6:7" ht="14.25" customHeight="1" x14ac:dyDescent="0.35">
      <c r="F491" s="2"/>
      <c r="G491" s="3"/>
    </row>
    <row r="492" spans="6:7" ht="14.25" customHeight="1" x14ac:dyDescent="0.35">
      <c r="F492" s="2"/>
      <c r="G492" s="3"/>
    </row>
    <row r="493" spans="6:7" ht="14.25" customHeight="1" x14ac:dyDescent="0.35">
      <c r="F493" s="2"/>
      <c r="G493" s="3"/>
    </row>
    <row r="494" spans="6:7" ht="14.25" customHeight="1" x14ac:dyDescent="0.35">
      <c r="F494" s="2"/>
      <c r="G494" s="3"/>
    </row>
    <row r="495" spans="6:7" ht="14.25" customHeight="1" x14ac:dyDescent="0.35">
      <c r="F495" s="2"/>
      <c r="G495" s="3"/>
    </row>
    <row r="496" spans="6:7" ht="14.25" customHeight="1" x14ac:dyDescent="0.35">
      <c r="F496" s="2"/>
      <c r="G496" s="3"/>
    </row>
    <row r="497" spans="6:7" ht="14.25" customHeight="1" x14ac:dyDescent="0.35">
      <c r="F497" s="2"/>
      <c r="G497" s="3"/>
    </row>
    <row r="498" spans="6:7" ht="14.25" customHeight="1" x14ac:dyDescent="0.35">
      <c r="F498" s="2"/>
      <c r="G498" s="3"/>
    </row>
    <row r="499" spans="6:7" ht="14.25" customHeight="1" x14ac:dyDescent="0.35">
      <c r="F499" s="2"/>
      <c r="G499" s="3"/>
    </row>
    <row r="500" spans="6:7" ht="14.25" customHeight="1" x14ac:dyDescent="0.35">
      <c r="F500" s="2"/>
      <c r="G500" s="3"/>
    </row>
    <row r="501" spans="6:7" ht="14.25" customHeight="1" x14ac:dyDescent="0.35">
      <c r="F501" s="2"/>
      <c r="G501" s="3"/>
    </row>
    <row r="502" spans="6:7" ht="14.25" customHeight="1" x14ac:dyDescent="0.35">
      <c r="F502" s="2"/>
      <c r="G502" s="3"/>
    </row>
    <row r="503" spans="6:7" ht="14.25" customHeight="1" x14ac:dyDescent="0.35">
      <c r="F503" s="2"/>
      <c r="G503" s="3"/>
    </row>
    <row r="504" spans="6:7" ht="14.25" customHeight="1" x14ac:dyDescent="0.35">
      <c r="F504" s="2"/>
      <c r="G504" s="3"/>
    </row>
    <row r="505" spans="6:7" ht="14.25" customHeight="1" x14ac:dyDescent="0.35">
      <c r="F505" s="2"/>
      <c r="G505" s="3"/>
    </row>
    <row r="506" spans="6:7" ht="14.25" customHeight="1" x14ac:dyDescent="0.35">
      <c r="F506" s="2"/>
      <c r="G506" s="3"/>
    </row>
    <row r="507" spans="6:7" ht="14.25" customHeight="1" x14ac:dyDescent="0.35">
      <c r="F507" s="2"/>
      <c r="G507" s="3"/>
    </row>
    <row r="508" spans="6:7" ht="14.25" customHeight="1" x14ac:dyDescent="0.35">
      <c r="F508" s="2"/>
      <c r="G508" s="3"/>
    </row>
    <row r="509" spans="6:7" ht="14.25" customHeight="1" x14ac:dyDescent="0.35">
      <c r="F509" s="2"/>
      <c r="G509" s="3"/>
    </row>
    <row r="510" spans="6:7" ht="14.25" customHeight="1" x14ac:dyDescent="0.35">
      <c r="F510" s="2"/>
      <c r="G510" s="3"/>
    </row>
    <row r="511" spans="6:7" ht="14.25" customHeight="1" x14ac:dyDescent="0.35">
      <c r="F511" s="2"/>
      <c r="G511" s="3"/>
    </row>
    <row r="512" spans="6:7" ht="14.25" customHeight="1" x14ac:dyDescent="0.35">
      <c r="F512" s="2"/>
      <c r="G512" s="3"/>
    </row>
    <row r="513" spans="6:7" ht="14.25" customHeight="1" x14ac:dyDescent="0.35">
      <c r="F513" s="2"/>
      <c r="G513" s="3"/>
    </row>
    <row r="514" spans="6:7" ht="14.25" customHeight="1" x14ac:dyDescent="0.35">
      <c r="F514" s="2"/>
      <c r="G514" s="3"/>
    </row>
    <row r="515" spans="6:7" ht="14.25" customHeight="1" x14ac:dyDescent="0.35">
      <c r="F515" s="2"/>
      <c r="G515" s="3"/>
    </row>
    <row r="516" spans="6:7" ht="14.25" customHeight="1" x14ac:dyDescent="0.35">
      <c r="F516" s="2"/>
      <c r="G516" s="3"/>
    </row>
    <row r="517" spans="6:7" ht="14.25" customHeight="1" x14ac:dyDescent="0.35">
      <c r="F517" s="2"/>
      <c r="G517" s="3"/>
    </row>
    <row r="518" spans="6:7" ht="14.25" customHeight="1" x14ac:dyDescent="0.35">
      <c r="F518" s="2"/>
      <c r="G518" s="3"/>
    </row>
    <row r="519" spans="6:7" ht="14.25" customHeight="1" x14ac:dyDescent="0.35">
      <c r="F519" s="2"/>
      <c r="G519" s="3"/>
    </row>
    <row r="520" spans="6:7" ht="14.25" customHeight="1" x14ac:dyDescent="0.35">
      <c r="F520" s="2"/>
      <c r="G520" s="3"/>
    </row>
    <row r="521" spans="6:7" ht="14.25" customHeight="1" x14ac:dyDescent="0.35">
      <c r="F521" s="2"/>
      <c r="G521" s="3"/>
    </row>
    <row r="522" spans="6:7" ht="14.25" customHeight="1" x14ac:dyDescent="0.35">
      <c r="F522" s="2"/>
      <c r="G522" s="3"/>
    </row>
    <row r="523" spans="6:7" ht="14.25" customHeight="1" x14ac:dyDescent="0.35">
      <c r="F523" s="2"/>
      <c r="G523" s="3"/>
    </row>
    <row r="524" spans="6:7" ht="14.25" customHeight="1" x14ac:dyDescent="0.35">
      <c r="F524" s="2"/>
      <c r="G524" s="3"/>
    </row>
    <row r="525" spans="6:7" ht="14.25" customHeight="1" x14ac:dyDescent="0.35">
      <c r="F525" s="2"/>
      <c r="G525" s="3"/>
    </row>
    <row r="526" spans="6:7" ht="14.25" customHeight="1" x14ac:dyDescent="0.35">
      <c r="F526" s="2"/>
      <c r="G526" s="3"/>
    </row>
    <row r="527" spans="6:7" ht="14.25" customHeight="1" x14ac:dyDescent="0.35">
      <c r="F527" s="2"/>
      <c r="G527" s="3"/>
    </row>
    <row r="528" spans="6:7" ht="14.25" customHeight="1" x14ac:dyDescent="0.35">
      <c r="F528" s="2"/>
      <c r="G528" s="3"/>
    </row>
    <row r="529" spans="6:7" ht="14.25" customHeight="1" x14ac:dyDescent="0.35">
      <c r="F529" s="2"/>
      <c r="G529" s="3"/>
    </row>
    <row r="530" spans="6:7" ht="14.25" customHeight="1" x14ac:dyDescent="0.35">
      <c r="F530" s="2"/>
      <c r="G530" s="3"/>
    </row>
    <row r="531" spans="6:7" ht="14.25" customHeight="1" x14ac:dyDescent="0.35">
      <c r="F531" s="2"/>
      <c r="G531" s="3"/>
    </row>
    <row r="532" spans="6:7" ht="14.25" customHeight="1" x14ac:dyDescent="0.35">
      <c r="F532" s="2"/>
      <c r="G532" s="3"/>
    </row>
    <row r="533" spans="6:7" ht="14.25" customHeight="1" x14ac:dyDescent="0.35">
      <c r="F533" s="2"/>
      <c r="G533" s="3"/>
    </row>
    <row r="534" spans="6:7" ht="14.25" customHeight="1" x14ac:dyDescent="0.35">
      <c r="F534" s="2"/>
      <c r="G534" s="3"/>
    </row>
    <row r="535" spans="6:7" ht="14.25" customHeight="1" x14ac:dyDescent="0.35">
      <c r="F535" s="2"/>
      <c r="G535" s="3"/>
    </row>
    <row r="536" spans="6:7" ht="14.25" customHeight="1" x14ac:dyDescent="0.35">
      <c r="F536" s="2"/>
      <c r="G536" s="3"/>
    </row>
    <row r="537" spans="6:7" ht="14.25" customHeight="1" x14ac:dyDescent="0.35">
      <c r="F537" s="2"/>
      <c r="G537" s="3"/>
    </row>
    <row r="538" spans="6:7" ht="14.25" customHeight="1" x14ac:dyDescent="0.35">
      <c r="F538" s="2"/>
      <c r="G538" s="3"/>
    </row>
    <row r="539" spans="6:7" ht="14.25" customHeight="1" x14ac:dyDescent="0.35">
      <c r="F539" s="2"/>
      <c r="G539" s="3"/>
    </row>
    <row r="540" spans="6:7" ht="14.25" customHeight="1" x14ac:dyDescent="0.35">
      <c r="F540" s="2"/>
      <c r="G540" s="3"/>
    </row>
    <row r="541" spans="6:7" ht="14.25" customHeight="1" x14ac:dyDescent="0.35">
      <c r="F541" s="2"/>
      <c r="G541" s="3"/>
    </row>
    <row r="542" spans="6:7" ht="14.25" customHeight="1" x14ac:dyDescent="0.35">
      <c r="F542" s="2"/>
      <c r="G542" s="3"/>
    </row>
    <row r="543" spans="6:7" ht="14.25" customHeight="1" x14ac:dyDescent="0.35">
      <c r="F543" s="2"/>
      <c r="G543" s="3"/>
    </row>
    <row r="544" spans="6:7" ht="14.25" customHeight="1" x14ac:dyDescent="0.35">
      <c r="F544" s="2"/>
      <c r="G544" s="3"/>
    </row>
    <row r="545" spans="6:7" ht="14.25" customHeight="1" x14ac:dyDescent="0.35">
      <c r="F545" s="2"/>
      <c r="G545" s="3"/>
    </row>
    <row r="546" spans="6:7" ht="14.25" customHeight="1" x14ac:dyDescent="0.35">
      <c r="F546" s="2"/>
      <c r="G546" s="3"/>
    </row>
    <row r="547" spans="6:7" ht="14.25" customHeight="1" x14ac:dyDescent="0.35">
      <c r="F547" s="2"/>
      <c r="G547" s="3"/>
    </row>
    <row r="548" spans="6:7" ht="14.25" customHeight="1" x14ac:dyDescent="0.35">
      <c r="F548" s="2"/>
      <c r="G548" s="3"/>
    </row>
    <row r="549" spans="6:7" ht="14.25" customHeight="1" x14ac:dyDescent="0.35">
      <c r="F549" s="2"/>
      <c r="G549" s="3"/>
    </row>
    <row r="550" spans="6:7" ht="14.25" customHeight="1" x14ac:dyDescent="0.35">
      <c r="F550" s="2"/>
      <c r="G550" s="3"/>
    </row>
    <row r="551" spans="6:7" ht="14.25" customHeight="1" x14ac:dyDescent="0.35">
      <c r="F551" s="2"/>
      <c r="G551" s="3"/>
    </row>
    <row r="552" spans="6:7" ht="14.25" customHeight="1" x14ac:dyDescent="0.35">
      <c r="F552" s="2"/>
      <c r="G552" s="3"/>
    </row>
    <row r="553" spans="6:7" ht="14.25" customHeight="1" x14ac:dyDescent="0.35">
      <c r="F553" s="2"/>
      <c r="G553" s="3"/>
    </row>
    <row r="554" spans="6:7" ht="14.25" customHeight="1" x14ac:dyDescent="0.35">
      <c r="F554" s="2"/>
      <c r="G554" s="3"/>
    </row>
    <row r="555" spans="6:7" ht="14.25" customHeight="1" x14ac:dyDescent="0.35">
      <c r="F555" s="2"/>
      <c r="G555" s="3"/>
    </row>
    <row r="556" spans="6:7" ht="14.25" customHeight="1" x14ac:dyDescent="0.35">
      <c r="F556" s="2"/>
      <c r="G556" s="3"/>
    </row>
    <row r="557" spans="6:7" ht="14.25" customHeight="1" x14ac:dyDescent="0.35">
      <c r="F557" s="2"/>
      <c r="G557" s="3"/>
    </row>
    <row r="558" spans="6:7" ht="14.25" customHeight="1" x14ac:dyDescent="0.35">
      <c r="F558" s="2"/>
      <c r="G558" s="3"/>
    </row>
    <row r="559" spans="6:7" ht="14.25" customHeight="1" x14ac:dyDescent="0.35">
      <c r="F559" s="2"/>
      <c r="G559" s="3"/>
    </row>
    <row r="560" spans="6:7" ht="14.25" customHeight="1" x14ac:dyDescent="0.35">
      <c r="F560" s="2"/>
      <c r="G560" s="3"/>
    </row>
    <row r="561" spans="6:7" ht="14.25" customHeight="1" x14ac:dyDescent="0.35">
      <c r="F561" s="2"/>
      <c r="G561" s="3"/>
    </row>
    <row r="562" spans="6:7" ht="14.25" customHeight="1" x14ac:dyDescent="0.35">
      <c r="F562" s="2"/>
      <c r="G562" s="3"/>
    </row>
    <row r="563" spans="6:7" ht="14.25" customHeight="1" x14ac:dyDescent="0.35">
      <c r="F563" s="2"/>
      <c r="G563" s="3"/>
    </row>
    <row r="564" spans="6:7" ht="14.25" customHeight="1" x14ac:dyDescent="0.35">
      <c r="F564" s="2"/>
      <c r="G564" s="3"/>
    </row>
    <row r="565" spans="6:7" ht="14.25" customHeight="1" x14ac:dyDescent="0.35">
      <c r="F565" s="2"/>
      <c r="G565" s="3"/>
    </row>
    <row r="566" spans="6:7" ht="14.25" customHeight="1" x14ac:dyDescent="0.35">
      <c r="F566" s="2"/>
      <c r="G566" s="3"/>
    </row>
    <row r="567" spans="6:7" ht="14.25" customHeight="1" x14ac:dyDescent="0.35">
      <c r="F567" s="2"/>
      <c r="G567" s="3"/>
    </row>
    <row r="568" spans="6:7" ht="14.25" customHeight="1" x14ac:dyDescent="0.35">
      <c r="F568" s="2"/>
      <c r="G568" s="3"/>
    </row>
    <row r="569" spans="6:7" ht="14.25" customHeight="1" x14ac:dyDescent="0.35">
      <c r="F569" s="2"/>
      <c r="G569" s="3"/>
    </row>
    <row r="570" spans="6:7" ht="14.25" customHeight="1" x14ac:dyDescent="0.35">
      <c r="F570" s="2"/>
      <c r="G570" s="3"/>
    </row>
    <row r="571" spans="6:7" ht="14.25" customHeight="1" x14ac:dyDescent="0.35">
      <c r="F571" s="2"/>
      <c r="G571" s="3"/>
    </row>
    <row r="572" spans="6:7" ht="14.25" customHeight="1" x14ac:dyDescent="0.35">
      <c r="F572" s="2"/>
      <c r="G572" s="3"/>
    </row>
    <row r="573" spans="6:7" ht="14.25" customHeight="1" x14ac:dyDescent="0.35">
      <c r="F573" s="2"/>
      <c r="G573" s="3"/>
    </row>
    <row r="574" spans="6:7" ht="14.25" customHeight="1" x14ac:dyDescent="0.35">
      <c r="F574" s="2"/>
      <c r="G574" s="3"/>
    </row>
    <row r="575" spans="6:7" ht="14.25" customHeight="1" x14ac:dyDescent="0.35">
      <c r="F575" s="2"/>
      <c r="G575" s="3"/>
    </row>
    <row r="576" spans="6:7" ht="14.25" customHeight="1" x14ac:dyDescent="0.35">
      <c r="F576" s="2"/>
      <c r="G576" s="3"/>
    </row>
    <row r="577" spans="6:7" ht="14.25" customHeight="1" x14ac:dyDescent="0.35">
      <c r="F577" s="2"/>
      <c r="G577" s="3"/>
    </row>
    <row r="578" spans="6:7" ht="14.25" customHeight="1" x14ac:dyDescent="0.35">
      <c r="F578" s="2"/>
      <c r="G578" s="3"/>
    </row>
    <row r="579" spans="6:7" ht="14.25" customHeight="1" x14ac:dyDescent="0.35">
      <c r="F579" s="2"/>
      <c r="G579" s="3"/>
    </row>
    <row r="580" spans="6:7" ht="14.25" customHeight="1" x14ac:dyDescent="0.35">
      <c r="F580" s="2"/>
      <c r="G580" s="3"/>
    </row>
    <row r="581" spans="6:7" ht="14.25" customHeight="1" x14ac:dyDescent="0.35">
      <c r="F581" s="2"/>
      <c r="G581" s="3"/>
    </row>
    <row r="582" spans="6:7" ht="14.25" customHeight="1" x14ac:dyDescent="0.35">
      <c r="F582" s="2"/>
      <c r="G582" s="3"/>
    </row>
    <row r="583" spans="6:7" ht="14.25" customHeight="1" x14ac:dyDescent="0.35">
      <c r="F583" s="2"/>
      <c r="G583" s="3"/>
    </row>
    <row r="584" spans="6:7" ht="14.25" customHeight="1" x14ac:dyDescent="0.35">
      <c r="F584" s="2"/>
      <c r="G584" s="3"/>
    </row>
    <row r="585" spans="6:7" ht="14.25" customHeight="1" x14ac:dyDescent="0.35">
      <c r="F585" s="2"/>
      <c r="G585" s="3"/>
    </row>
    <row r="586" spans="6:7" ht="14.25" customHeight="1" x14ac:dyDescent="0.35">
      <c r="F586" s="2"/>
      <c r="G586" s="3"/>
    </row>
    <row r="587" spans="6:7" ht="14.25" customHeight="1" x14ac:dyDescent="0.35">
      <c r="F587" s="2"/>
      <c r="G587" s="3"/>
    </row>
    <row r="588" spans="6:7" ht="14.25" customHeight="1" x14ac:dyDescent="0.35">
      <c r="F588" s="2"/>
      <c r="G588" s="3"/>
    </row>
    <row r="589" spans="6:7" ht="14.25" customHeight="1" x14ac:dyDescent="0.35">
      <c r="F589" s="2"/>
      <c r="G589" s="3"/>
    </row>
    <row r="590" spans="6:7" ht="14.25" customHeight="1" x14ac:dyDescent="0.35">
      <c r="F590" s="2"/>
      <c r="G590" s="3"/>
    </row>
    <row r="591" spans="6:7" ht="14.25" customHeight="1" x14ac:dyDescent="0.35">
      <c r="F591" s="2"/>
      <c r="G591" s="3"/>
    </row>
    <row r="592" spans="6:7" ht="14.25" customHeight="1" x14ac:dyDescent="0.35">
      <c r="F592" s="2"/>
      <c r="G592" s="3"/>
    </row>
    <row r="593" spans="6:7" ht="14.25" customHeight="1" x14ac:dyDescent="0.35">
      <c r="F593" s="2"/>
      <c r="G593" s="3"/>
    </row>
    <row r="594" spans="6:7" ht="14.25" customHeight="1" x14ac:dyDescent="0.35">
      <c r="F594" s="2"/>
      <c r="G594" s="3"/>
    </row>
    <row r="595" spans="6:7" ht="14.25" customHeight="1" x14ac:dyDescent="0.35">
      <c r="F595" s="2"/>
      <c r="G595" s="3"/>
    </row>
    <row r="596" spans="6:7" ht="14.25" customHeight="1" x14ac:dyDescent="0.35">
      <c r="F596" s="2"/>
      <c r="G596" s="3"/>
    </row>
    <row r="597" spans="6:7" ht="14.25" customHeight="1" x14ac:dyDescent="0.35">
      <c r="F597" s="2"/>
      <c r="G597" s="3"/>
    </row>
    <row r="598" spans="6:7" ht="14.25" customHeight="1" x14ac:dyDescent="0.35">
      <c r="F598" s="2"/>
      <c r="G598" s="3"/>
    </row>
    <row r="599" spans="6:7" ht="14.25" customHeight="1" x14ac:dyDescent="0.35">
      <c r="F599" s="2"/>
      <c r="G599" s="3"/>
    </row>
    <row r="600" spans="6:7" ht="14.25" customHeight="1" x14ac:dyDescent="0.35">
      <c r="F600" s="2"/>
      <c r="G600" s="3"/>
    </row>
    <row r="601" spans="6:7" ht="14.25" customHeight="1" x14ac:dyDescent="0.35">
      <c r="F601" s="2"/>
      <c r="G601" s="3"/>
    </row>
    <row r="602" spans="6:7" ht="14.25" customHeight="1" x14ac:dyDescent="0.35">
      <c r="F602" s="2"/>
      <c r="G602" s="3"/>
    </row>
    <row r="603" spans="6:7" ht="14.25" customHeight="1" x14ac:dyDescent="0.35">
      <c r="F603" s="2"/>
      <c r="G603" s="3"/>
    </row>
    <row r="604" spans="6:7" ht="14.25" customHeight="1" x14ac:dyDescent="0.35">
      <c r="F604" s="2"/>
      <c r="G604" s="3"/>
    </row>
    <row r="605" spans="6:7" ht="14.25" customHeight="1" x14ac:dyDescent="0.35">
      <c r="F605" s="2"/>
      <c r="G605" s="3"/>
    </row>
    <row r="606" spans="6:7" ht="14.25" customHeight="1" x14ac:dyDescent="0.35">
      <c r="F606" s="2"/>
      <c r="G606" s="3"/>
    </row>
    <row r="607" spans="6:7" ht="14.25" customHeight="1" x14ac:dyDescent="0.35">
      <c r="F607" s="2"/>
      <c r="G607" s="3"/>
    </row>
    <row r="608" spans="6:7" ht="14.25" customHeight="1" x14ac:dyDescent="0.35">
      <c r="F608" s="2"/>
      <c r="G608" s="3"/>
    </row>
    <row r="609" spans="6:7" ht="14.25" customHeight="1" x14ac:dyDescent="0.35">
      <c r="F609" s="2"/>
      <c r="G609" s="3"/>
    </row>
    <row r="610" spans="6:7" ht="14.25" customHeight="1" x14ac:dyDescent="0.35">
      <c r="F610" s="2"/>
      <c r="G610" s="3"/>
    </row>
    <row r="611" spans="6:7" ht="14.25" customHeight="1" x14ac:dyDescent="0.35">
      <c r="F611" s="2"/>
      <c r="G611" s="3"/>
    </row>
    <row r="612" spans="6:7" ht="14.25" customHeight="1" x14ac:dyDescent="0.35">
      <c r="F612" s="2"/>
      <c r="G612" s="3"/>
    </row>
    <row r="613" spans="6:7" ht="14.25" customHeight="1" x14ac:dyDescent="0.35">
      <c r="F613" s="2"/>
      <c r="G613" s="3"/>
    </row>
    <row r="614" spans="6:7" ht="14.25" customHeight="1" x14ac:dyDescent="0.35">
      <c r="F614" s="2"/>
      <c r="G614" s="3"/>
    </row>
    <row r="615" spans="6:7" ht="14.25" customHeight="1" x14ac:dyDescent="0.35">
      <c r="F615" s="2"/>
      <c r="G615" s="3"/>
    </row>
    <row r="616" spans="6:7" ht="14.25" customHeight="1" x14ac:dyDescent="0.35">
      <c r="F616" s="2"/>
      <c r="G616" s="3"/>
    </row>
    <row r="617" spans="6:7" ht="14.25" customHeight="1" x14ac:dyDescent="0.35">
      <c r="F617" s="2"/>
      <c r="G617" s="3"/>
    </row>
    <row r="618" spans="6:7" ht="14.25" customHeight="1" x14ac:dyDescent="0.35">
      <c r="F618" s="2"/>
      <c r="G618" s="3"/>
    </row>
    <row r="619" spans="6:7" ht="14.25" customHeight="1" x14ac:dyDescent="0.35">
      <c r="F619" s="2"/>
      <c r="G619" s="3"/>
    </row>
    <row r="620" spans="6:7" ht="14.25" customHeight="1" x14ac:dyDescent="0.35">
      <c r="F620" s="2"/>
      <c r="G620" s="3"/>
    </row>
    <row r="621" spans="6:7" ht="14.25" customHeight="1" x14ac:dyDescent="0.35">
      <c r="F621" s="2"/>
      <c r="G621" s="3"/>
    </row>
    <row r="622" spans="6:7" ht="14.25" customHeight="1" x14ac:dyDescent="0.35">
      <c r="F622" s="2"/>
      <c r="G622" s="3"/>
    </row>
    <row r="623" spans="6:7" ht="14.25" customHeight="1" x14ac:dyDescent="0.35">
      <c r="F623" s="2"/>
      <c r="G623" s="3"/>
    </row>
    <row r="624" spans="6:7" ht="14.25" customHeight="1" x14ac:dyDescent="0.35">
      <c r="F624" s="2"/>
      <c r="G624" s="3"/>
    </row>
    <row r="625" spans="6:7" ht="14.25" customHeight="1" x14ac:dyDescent="0.35">
      <c r="F625" s="2"/>
      <c r="G625" s="3"/>
    </row>
    <row r="626" spans="6:7" ht="14.25" customHeight="1" x14ac:dyDescent="0.35">
      <c r="F626" s="2"/>
      <c r="G626" s="3"/>
    </row>
    <row r="627" spans="6:7" ht="14.25" customHeight="1" x14ac:dyDescent="0.35">
      <c r="F627" s="2"/>
      <c r="G627" s="3"/>
    </row>
    <row r="628" spans="6:7" ht="14.25" customHeight="1" x14ac:dyDescent="0.35">
      <c r="F628" s="2"/>
      <c r="G628" s="3"/>
    </row>
    <row r="629" spans="6:7" ht="14.25" customHeight="1" x14ac:dyDescent="0.35">
      <c r="F629" s="2"/>
      <c r="G629" s="3"/>
    </row>
    <row r="630" spans="6:7" ht="14.25" customHeight="1" x14ac:dyDescent="0.35">
      <c r="F630" s="2"/>
      <c r="G630" s="3"/>
    </row>
    <row r="631" spans="6:7" ht="14.25" customHeight="1" x14ac:dyDescent="0.35">
      <c r="F631" s="2"/>
      <c r="G631" s="3"/>
    </row>
    <row r="632" spans="6:7" ht="14.25" customHeight="1" x14ac:dyDescent="0.35">
      <c r="F632" s="2"/>
      <c r="G632" s="3"/>
    </row>
    <row r="633" spans="6:7" ht="14.25" customHeight="1" x14ac:dyDescent="0.35">
      <c r="F633" s="2"/>
      <c r="G633" s="3"/>
    </row>
    <row r="634" spans="6:7" ht="14.25" customHeight="1" x14ac:dyDescent="0.35">
      <c r="F634" s="2"/>
      <c r="G634" s="3"/>
    </row>
    <row r="635" spans="6:7" ht="14.25" customHeight="1" x14ac:dyDescent="0.35">
      <c r="F635" s="2"/>
      <c r="G635" s="3"/>
    </row>
    <row r="636" spans="6:7" ht="14.25" customHeight="1" x14ac:dyDescent="0.35">
      <c r="F636" s="2"/>
      <c r="G636" s="3"/>
    </row>
    <row r="637" spans="6:7" ht="14.25" customHeight="1" x14ac:dyDescent="0.35">
      <c r="F637" s="2"/>
      <c r="G637" s="3"/>
    </row>
    <row r="638" spans="6:7" ht="14.25" customHeight="1" x14ac:dyDescent="0.35">
      <c r="F638" s="2"/>
      <c r="G638" s="3"/>
    </row>
    <row r="639" spans="6:7" ht="14.25" customHeight="1" x14ac:dyDescent="0.35">
      <c r="F639" s="2"/>
      <c r="G639" s="3"/>
    </row>
    <row r="640" spans="6:7" ht="14.25" customHeight="1" x14ac:dyDescent="0.35">
      <c r="F640" s="2"/>
      <c r="G640" s="3"/>
    </row>
    <row r="641" spans="6:7" ht="14.25" customHeight="1" x14ac:dyDescent="0.35">
      <c r="F641" s="2"/>
      <c r="G641" s="3"/>
    </row>
    <row r="642" spans="6:7" ht="14.25" customHeight="1" x14ac:dyDescent="0.35">
      <c r="F642" s="2"/>
      <c r="G642" s="3"/>
    </row>
    <row r="643" spans="6:7" ht="14.25" customHeight="1" x14ac:dyDescent="0.35">
      <c r="F643" s="2"/>
      <c r="G643" s="3"/>
    </row>
    <row r="644" spans="6:7" ht="14.25" customHeight="1" x14ac:dyDescent="0.35">
      <c r="F644" s="2"/>
      <c r="G644" s="3"/>
    </row>
    <row r="645" spans="6:7" ht="14.25" customHeight="1" x14ac:dyDescent="0.35">
      <c r="F645" s="2"/>
      <c r="G645" s="3"/>
    </row>
    <row r="646" spans="6:7" ht="14.25" customHeight="1" x14ac:dyDescent="0.35">
      <c r="F646" s="2"/>
      <c r="G646" s="3"/>
    </row>
    <row r="647" spans="6:7" ht="14.25" customHeight="1" x14ac:dyDescent="0.35">
      <c r="F647" s="2"/>
      <c r="G647" s="3"/>
    </row>
    <row r="648" spans="6:7" ht="14.25" customHeight="1" x14ac:dyDescent="0.35">
      <c r="F648" s="2"/>
      <c r="G648" s="3"/>
    </row>
    <row r="649" spans="6:7" ht="14.25" customHeight="1" x14ac:dyDescent="0.35">
      <c r="F649" s="2"/>
      <c r="G649" s="3"/>
    </row>
    <row r="650" spans="6:7" ht="14.25" customHeight="1" x14ac:dyDescent="0.35">
      <c r="F650" s="2"/>
      <c r="G650" s="3"/>
    </row>
    <row r="651" spans="6:7" ht="14.25" customHeight="1" x14ac:dyDescent="0.35">
      <c r="F651" s="2"/>
      <c r="G651" s="3"/>
    </row>
    <row r="652" spans="6:7" ht="14.25" customHeight="1" x14ac:dyDescent="0.35">
      <c r="F652" s="2"/>
      <c r="G652" s="3"/>
    </row>
    <row r="653" spans="6:7" ht="14.25" customHeight="1" x14ac:dyDescent="0.35">
      <c r="F653" s="2"/>
      <c r="G653" s="3"/>
    </row>
    <row r="654" spans="6:7" ht="14.25" customHeight="1" x14ac:dyDescent="0.35">
      <c r="F654" s="2"/>
      <c r="G654" s="3"/>
    </row>
    <row r="655" spans="6:7" ht="14.25" customHeight="1" x14ac:dyDescent="0.35">
      <c r="F655" s="2"/>
      <c r="G655" s="3"/>
    </row>
    <row r="656" spans="6:7" ht="14.25" customHeight="1" x14ac:dyDescent="0.35">
      <c r="F656" s="2"/>
      <c r="G656" s="3"/>
    </row>
    <row r="657" spans="6:7" ht="14.25" customHeight="1" x14ac:dyDescent="0.35">
      <c r="F657" s="2"/>
      <c r="G657" s="3"/>
    </row>
    <row r="658" spans="6:7" ht="14.25" customHeight="1" x14ac:dyDescent="0.35">
      <c r="F658" s="2"/>
      <c r="G658" s="3"/>
    </row>
    <row r="659" spans="6:7" ht="14.25" customHeight="1" x14ac:dyDescent="0.35">
      <c r="F659" s="2"/>
      <c r="G659" s="3"/>
    </row>
    <row r="660" spans="6:7" ht="14.25" customHeight="1" x14ac:dyDescent="0.35">
      <c r="F660" s="2"/>
      <c r="G660" s="3"/>
    </row>
    <row r="661" spans="6:7" ht="14.25" customHeight="1" x14ac:dyDescent="0.35">
      <c r="F661" s="2"/>
      <c r="G661" s="3"/>
    </row>
    <row r="662" spans="6:7" ht="14.25" customHeight="1" x14ac:dyDescent="0.35">
      <c r="F662" s="2"/>
      <c r="G662" s="3"/>
    </row>
    <row r="663" spans="6:7" ht="14.25" customHeight="1" x14ac:dyDescent="0.35">
      <c r="F663" s="2"/>
      <c r="G663" s="3"/>
    </row>
    <row r="664" spans="6:7" ht="14.25" customHeight="1" x14ac:dyDescent="0.35">
      <c r="F664" s="2"/>
      <c r="G664" s="3"/>
    </row>
    <row r="665" spans="6:7" ht="14.25" customHeight="1" x14ac:dyDescent="0.35">
      <c r="F665" s="2"/>
      <c r="G665" s="3"/>
    </row>
    <row r="666" spans="6:7" ht="14.25" customHeight="1" x14ac:dyDescent="0.35">
      <c r="F666" s="2"/>
      <c r="G666" s="3"/>
    </row>
    <row r="667" spans="6:7" ht="14.25" customHeight="1" x14ac:dyDescent="0.35">
      <c r="F667" s="2"/>
      <c r="G667" s="3"/>
    </row>
    <row r="668" spans="6:7" ht="14.25" customHeight="1" x14ac:dyDescent="0.35">
      <c r="F668" s="2"/>
      <c r="G668" s="3"/>
    </row>
    <row r="669" spans="6:7" ht="14.25" customHeight="1" x14ac:dyDescent="0.35">
      <c r="F669" s="2"/>
      <c r="G669" s="3"/>
    </row>
    <row r="670" spans="6:7" ht="14.25" customHeight="1" x14ac:dyDescent="0.35">
      <c r="F670" s="2"/>
      <c r="G670" s="3"/>
    </row>
    <row r="671" spans="6:7" ht="14.25" customHeight="1" x14ac:dyDescent="0.35">
      <c r="F671" s="2"/>
      <c r="G671" s="3"/>
    </row>
    <row r="672" spans="6:7" ht="14.25" customHeight="1" x14ac:dyDescent="0.35">
      <c r="F672" s="2"/>
      <c r="G672" s="3"/>
    </row>
    <row r="673" spans="6:7" ht="14.25" customHeight="1" x14ac:dyDescent="0.35">
      <c r="F673" s="2"/>
      <c r="G673" s="3"/>
    </row>
    <row r="674" spans="6:7" ht="14.25" customHeight="1" x14ac:dyDescent="0.35">
      <c r="F674" s="2"/>
      <c r="G674" s="3"/>
    </row>
    <row r="675" spans="6:7" ht="14.25" customHeight="1" x14ac:dyDescent="0.35">
      <c r="F675" s="2"/>
      <c r="G675" s="3"/>
    </row>
    <row r="676" spans="6:7" ht="14.25" customHeight="1" x14ac:dyDescent="0.35">
      <c r="F676" s="2"/>
      <c r="G676" s="3"/>
    </row>
    <row r="677" spans="6:7" ht="14.25" customHeight="1" x14ac:dyDescent="0.35">
      <c r="F677" s="2"/>
      <c r="G677" s="3"/>
    </row>
    <row r="678" spans="6:7" ht="14.25" customHeight="1" x14ac:dyDescent="0.35">
      <c r="F678" s="2"/>
      <c r="G678" s="3"/>
    </row>
    <row r="679" spans="6:7" ht="14.25" customHeight="1" x14ac:dyDescent="0.35">
      <c r="F679" s="2"/>
      <c r="G679" s="3"/>
    </row>
    <row r="680" spans="6:7" ht="14.25" customHeight="1" x14ac:dyDescent="0.35">
      <c r="F680" s="2"/>
      <c r="G680" s="3"/>
    </row>
    <row r="681" spans="6:7" ht="14.25" customHeight="1" x14ac:dyDescent="0.35">
      <c r="F681" s="2"/>
      <c r="G681" s="3"/>
    </row>
    <row r="682" spans="6:7" ht="14.25" customHeight="1" x14ac:dyDescent="0.35">
      <c r="F682" s="2"/>
      <c r="G682" s="3"/>
    </row>
    <row r="683" spans="6:7" ht="14.25" customHeight="1" x14ac:dyDescent="0.35">
      <c r="F683" s="2"/>
      <c r="G683" s="3"/>
    </row>
    <row r="684" spans="6:7" ht="14.25" customHeight="1" x14ac:dyDescent="0.35">
      <c r="F684" s="2"/>
      <c r="G684" s="3"/>
    </row>
    <row r="685" spans="6:7" ht="14.25" customHeight="1" x14ac:dyDescent="0.35">
      <c r="F685" s="2"/>
      <c r="G685" s="3"/>
    </row>
    <row r="686" spans="6:7" ht="14.25" customHeight="1" x14ac:dyDescent="0.35">
      <c r="F686" s="2"/>
      <c r="G686" s="3"/>
    </row>
    <row r="687" spans="6:7" ht="14.25" customHeight="1" x14ac:dyDescent="0.35">
      <c r="F687" s="2"/>
      <c r="G687" s="3"/>
    </row>
    <row r="688" spans="6:7" ht="14.25" customHeight="1" x14ac:dyDescent="0.35">
      <c r="F688" s="2"/>
      <c r="G688" s="3"/>
    </row>
    <row r="689" spans="6:7" ht="14.25" customHeight="1" x14ac:dyDescent="0.35">
      <c r="F689" s="2"/>
      <c r="G689" s="3"/>
    </row>
    <row r="690" spans="6:7" ht="14.25" customHeight="1" x14ac:dyDescent="0.35">
      <c r="F690" s="2"/>
      <c r="G690" s="3"/>
    </row>
    <row r="691" spans="6:7" ht="14.25" customHeight="1" x14ac:dyDescent="0.35">
      <c r="F691" s="2"/>
      <c r="G691" s="3"/>
    </row>
    <row r="692" spans="6:7" ht="14.25" customHeight="1" x14ac:dyDescent="0.35">
      <c r="F692" s="2"/>
      <c r="G692" s="3"/>
    </row>
    <row r="693" spans="6:7" ht="14.25" customHeight="1" x14ac:dyDescent="0.35">
      <c r="F693" s="2"/>
      <c r="G693" s="3"/>
    </row>
    <row r="694" spans="6:7" ht="14.25" customHeight="1" x14ac:dyDescent="0.35">
      <c r="F694" s="2"/>
      <c r="G694" s="3"/>
    </row>
    <row r="695" spans="6:7" ht="14.25" customHeight="1" x14ac:dyDescent="0.35">
      <c r="F695" s="2"/>
      <c r="G695" s="3"/>
    </row>
    <row r="696" spans="6:7" ht="14.25" customHeight="1" x14ac:dyDescent="0.35">
      <c r="F696" s="2"/>
      <c r="G696" s="3"/>
    </row>
    <row r="697" spans="6:7" ht="14.25" customHeight="1" x14ac:dyDescent="0.35">
      <c r="F697" s="2"/>
      <c r="G697" s="3"/>
    </row>
    <row r="698" spans="6:7" ht="14.25" customHeight="1" x14ac:dyDescent="0.35">
      <c r="F698" s="2"/>
      <c r="G698" s="3"/>
    </row>
    <row r="699" spans="6:7" ht="14.25" customHeight="1" x14ac:dyDescent="0.35">
      <c r="F699" s="2"/>
      <c r="G699" s="3"/>
    </row>
    <row r="700" spans="6:7" ht="14.25" customHeight="1" x14ac:dyDescent="0.35">
      <c r="F700" s="2"/>
      <c r="G700" s="3"/>
    </row>
    <row r="701" spans="6:7" ht="14.25" customHeight="1" x14ac:dyDescent="0.35">
      <c r="F701" s="2"/>
      <c r="G701" s="3"/>
    </row>
    <row r="702" spans="6:7" ht="14.25" customHeight="1" x14ac:dyDescent="0.35">
      <c r="F702" s="2"/>
      <c r="G702" s="3"/>
    </row>
    <row r="703" spans="6:7" ht="14.25" customHeight="1" x14ac:dyDescent="0.35">
      <c r="F703" s="2"/>
      <c r="G703" s="3"/>
    </row>
    <row r="704" spans="6:7" ht="14.25" customHeight="1" x14ac:dyDescent="0.35">
      <c r="F704" s="2"/>
      <c r="G704" s="3"/>
    </row>
    <row r="705" spans="6:7" ht="14.25" customHeight="1" x14ac:dyDescent="0.35">
      <c r="F705" s="2"/>
      <c r="G705" s="3"/>
    </row>
    <row r="706" spans="6:7" ht="14.25" customHeight="1" x14ac:dyDescent="0.35">
      <c r="F706" s="2"/>
      <c r="G706" s="3"/>
    </row>
    <row r="707" spans="6:7" ht="14.25" customHeight="1" x14ac:dyDescent="0.35">
      <c r="F707" s="2"/>
      <c r="G707" s="3"/>
    </row>
    <row r="708" spans="6:7" ht="14.25" customHeight="1" x14ac:dyDescent="0.35">
      <c r="F708" s="2"/>
      <c r="G708" s="3"/>
    </row>
    <row r="709" spans="6:7" ht="14.25" customHeight="1" x14ac:dyDescent="0.35">
      <c r="F709" s="2"/>
      <c r="G709" s="3"/>
    </row>
    <row r="710" spans="6:7" ht="14.25" customHeight="1" x14ac:dyDescent="0.35">
      <c r="F710" s="2"/>
      <c r="G710" s="3"/>
    </row>
    <row r="711" spans="6:7" ht="14.25" customHeight="1" x14ac:dyDescent="0.35">
      <c r="F711" s="2"/>
      <c r="G711" s="3"/>
    </row>
    <row r="712" spans="6:7" ht="14.25" customHeight="1" x14ac:dyDescent="0.35">
      <c r="F712" s="2"/>
      <c r="G712" s="3"/>
    </row>
    <row r="713" spans="6:7" ht="14.25" customHeight="1" x14ac:dyDescent="0.35">
      <c r="F713" s="2"/>
      <c r="G713" s="3"/>
    </row>
    <row r="714" spans="6:7" ht="14.25" customHeight="1" x14ac:dyDescent="0.35">
      <c r="F714" s="2"/>
      <c r="G714" s="3"/>
    </row>
    <row r="715" spans="6:7" ht="14.25" customHeight="1" x14ac:dyDescent="0.35">
      <c r="F715" s="2"/>
      <c r="G715" s="3"/>
    </row>
    <row r="716" spans="6:7" ht="14.25" customHeight="1" x14ac:dyDescent="0.35">
      <c r="F716" s="2"/>
      <c r="G716" s="3"/>
    </row>
    <row r="717" spans="6:7" ht="14.25" customHeight="1" x14ac:dyDescent="0.35">
      <c r="F717" s="2"/>
      <c r="G717" s="3"/>
    </row>
    <row r="718" spans="6:7" ht="14.25" customHeight="1" x14ac:dyDescent="0.35">
      <c r="F718" s="2"/>
      <c r="G718" s="3"/>
    </row>
    <row r="719" spans="6:7" ht="14.25" customHeight="1" x14ac:dyDescent="0.35">
      <c r="F719" s="2"/>
      <c r="G719" s="3"/>
    </row>
    <row r="720" spans="6:7" ht="14.25" customHeight="1" x14ac:dyDescent="0.35">
      <c r="F720" s="2"/>
      <c r="G720" s="3"/>
    </row>
    <row r="721" spans="6:7" ht="14.25" customHeight="1" x14ac:dyDescent="0.35">
      <c r="F721" s="2"/>
      <c r="G721" s="3"/>
    </row>
    <row r="722" spans="6:7" ht="14.25" customHeight="1" x14ac:dyDescent="0.35">
      <c r="F722" s="2"/>
      <c r="G722" s="3"/>
    </row>
    <row r="723" spans="6:7" ht="14.25" customHeight="1" x14ac:dyDescent="0.35">
      <c r="F723" s="2"/>
      <c r="G723" s="3"/>
    </row>
    <row r="724" spans="6:7" ht="14.25" customHeight="1" x14ac:dyDescent="0.35">
      <c r="F724" s="2"/>
      <c r="G724" s="3"/>
    </row>
    <row r="725" spans="6:7" ht="14.25" customHeight="1" x14ac:dyDescent="0.35">
      <c r="F725" s="2"/>
      <c r="G725" s="3"/>
    </row>
    <row r="726" spans="6:7" ht="14.25" customHeight="1" x14ac:dyDescent="0.35">
      <c r="F726" s="2"/>
      <c r="G726" s="3"/>
    </row>
    <row r="727" spans="6:7" ht="14.25" customHeight="1" x14ac:dyDescent="0.35">
      <c r="F727" s="2"/>
      <c r="G727" s="3"/>
    </row>
    <row r="728" spans="6:7" ht="14.25" customHeight="1" x14ac:dyDescent="0.35">
      <c r="F728" s="2"/>
      <c r="G728" s="3"/>
    </row>
    <row r="729" spans="6:7" ht="14.25" customHeight="1" x14ac:dyDescent="0.35">
      <c r="F729" s="2"/>
      <c r="G729" s="3"/>
    </row>
    <row r="730" spans="6:7" ht="14.25" customHeight="1" x14ac:dyDescent="0.35">
      <c r="F730" s="2"/>
      <c r="G730" s="3"/>
    </row>
    <row r="731" spans="6:7" ht="14.25" customHeight="1" x14ac:dyDescent="0.35">
      <c r="F731" s="2"/>
      <c r="G731" s="3"/>
    </row>
    <row r="732" spans="6:7" ht="14.25" customHeight="1" x14ac:dyDescent="0.35">
      <c r="F732" s="2"/>
      <c r="G732" s="3"/>
    </row>
    <row r="733" spans="6:7" ht="14.25" customHeight="1" x14ac:dyDescent="0.35">
      <c r="F733" s="2"/>
      <c r="G733" s="3"/>
    </row>
    <row r="734" spans="6:7" ht="14.25" customHeight="1" x14ac:dyDescent="0.35">
      <c r="F734" s="2"/>
      <c r="G734" s="3"/>
    </row>
    <row r="735" spans="6:7" ht="14.25" customHeight="1" x14ac:dyDescent="0.35">
      <c r="F735" s="2"/>
      <c r="G735" s="3"/>
    </row>
    <row r="736" spans="6:7" ht="14.25" customHeight="1" x14ac:dyDescent="0.35">
      <c r="F736" s="2"/>
      <c r="G736" s="3"/>
    </row>
    <row r="737" spans="6:7" ht="14.25" customHeight="1" x14ac:dyDescent="0.35">
      <c r="F737" s="2"/>
      <c r="G737" s="3"/>
    </row>
    <row r="738" spans="6:7" ht="14.25" customHeight="1" x14ac:dyDescent="0.35">
      <c r="F738" s="2"/>
      <c r="G738" s="3"/>
    </row>
    <row r="739" spans="6:7" ht="14.25" customHeight="1" x14ac:dyDescent="0.35">
      <c r="F739" s="2"/>
      <c r="G739" s="3"/>
    </row>
    <row r="740" spans="6:7" ht="14.25" customHeight="1" x14ac:dyDescent="0.35">
      <c r="F740" s="2"/>
      <c r="G740" s="3"/>
    </row>
    <row r="741" spans="6:7" ht="14.25" customHeight="1" x14ac:dyDescent="0.35">
      <c r="F741" s="2"/>
      <c r="G741" s="3"/>
    </row>
    <row r="742" spans="6:7" ht="14.25" customHeight="1" x14ac:dyDescent="0.35">
      <c r="F742" s="2"/>
      <c r="G742" s="3"/>
    </row>
    <row r="743" spans="6:7" ht="14.25" customHeight="1" x14ac:dyDescent="0.35">
      <c r="F743" s="2"/>
      <c r="G743" s="3"/>
    </row>
    <row r="744" spans="6:7" ht="14.25" customHeight="1" x14ac:dyDescent="0.35">
      <c r="F744" s="2"/>
      <c r="G744" s="3"/>
    </row>
    <row r="745" spans="6:7" ht="14.25" customHeight="1" x14ac:dyDescent="0.35">
      <c r="F745" s="2"/>
      <c r="G745" s="3"/>
    </row>
    <row r="746" spans="6:7" ht="14.25" customHeight="1" x14ac:dyDescent="0.35">
      <c r="F746" s="2"/>
      <c r="G746" s="3"/>
    </row>
    <row r="747" spans="6:7" ht="14.25" customHeight="1" x14ac:dyDescent="0.35">
      <c r="F747" s="2"/>
      <c r="G747" s="3"/>
    </row>
    <row r="748" spans="6:7" ht="14.25" customHeight="1" x14ac:dyDescent="0.35">
      <c r="F748" s="2"/>
      <c r="G748" s="3"/>
    </row>
    <row r="749" spans="6:7" ht="14.25" customHeight="1" x14ac:dyDescent="0.35">
      <c r="F749" s="2"/>
      <c r="G749" s="3"/>
    </row>
    <row r="750" spans="6:7" ht="14.25" customHeight="1" x14ac:dyDescent="0.35">
      <c r="F750" s="2"/>
      <c r="G750" s="3"/>
    </row>
    <row r="751" spans="6:7" ht="14.25" customHeight="1" x14ac:dyDescent="0.35">
      <c r="F751" s="2"/>
      <c r="G751" s="3"/>
    </row>
    <row r="752" spans="6:7" ht="14.25" customHeight="1" x14ac:dyDescent="0.35">
      <c r="F752" s="2"/>
      <c r="G752" s="3"/>
    </row>
    <row r="753" spans="6:7" ht="14.25" customHeight="1" x14ac:dyDescent="0.35">
      <c r="F753" s="2"/>
      <c r="G753" s="3"/>
    </row>
    <row r="754" spans="6:7" ht="14.25" customHeight="1" x14ac:dyDescent="0.35">
      <c r="F754" s="2"/>
      <c r="G754" s="3"/>
    </row>
    <row r="755" spans="6:7" ht="14.25" customHeight="1" x14ac:dyDescent="0.35">
      <c r="F755" s="2"/>
      <c r="G755" s="3"/>
    </row>
    <row r="756" spans="6:7" ht="14.25" customHeight="1" x14ac:dyDescent="0.35">
      <c r="F756" s="2"/>
      <c r="G756" s="3"/>
    </row>
    <row r="757" spans="6:7" ht="14.25" customHeight="1" x14ac:dyDescent="0.35">
      <c r="F757" s="2"/>
      <c r="G757" s="3"/>
    </row>
    <row r="758" spans="6:7" ht="14.25" customHeight="1" x14ac:dyDescent="0.35">
      <c r="F758" s="2"/>
      <c r="G758" s="3"/>
    </row>
    <row r="759" spans="6:7" ht="14.25" customHeight="1" x14ac:dyDescent="0.35">
      <c r="F759" s="2"/>
      <c r="G759" s="3"/>
    </row>
    <row r="760" spans="6:7" ht="14.25" customHeight="1" x14ac:dyDescent="0.35">
      <c r="F760" s="2"/>
      <c r="G760" s="3"/>
    </row>
    <row r="761" spans="6:7" ht="14.25" customHeight="1" x14ac:dyDescent="0.35">
      <c r="F761" s="2"/>
      <c r="G761" s="3"/>
    </row>
    <row r="762" spans="6:7" ht="14.25" customHeight="1" x14ac:dyDescent="0.35">
      <c r="F762" s="2"/>
      <c r="G762" s="3"/>
    </row>
    <row r="763" spans="6:7" ht="14.25" customHeight="1" x14ac:dyDescent="0.35">
      <c r="F763" s="2"/>
      <c r="G763" s="3"/>
    </row>
    <row r="764" spans="6:7" ht="14.25" customHeight="1" x14ac:dyDescent="0.35">
      <c r="F764" s="2"/>
      <c r="G764" s="3"/>
    </row>
    <row r="765" spans="6:7" ht="14.25" customHeight="1" x14ac:dyDescent="0.35">
      <c r="F765" s="2"/>
      <c r="G765" s="3"/>
    </row>
    <row r="766" spans="6:7" ht="14.25" customHeight="1" x14ac:dyDescent="0.35">
      <c r="F766" s="2"/>
      <c r="G766" s="3"/>
    </row>
    <row r="767" spans="6:7" ht="14.25" customHeight="1" x14ac:dyDescent="0.35">
      <c r="F767" s="2"/>
      <c r="G767" s="3"/>
    </row>
    <row r="768" spans="6:7" ht="14.25" customHeight="1" x14ac:dyDescent="0.35">
      <c r="F768" s="2"/>
      <c r="G768" s="3"/>
    </row>
    <row r="769" spans="6:7" ht="14.25" customHeight="1" x14ac:dyDescent="0.35">
      <c r="F769" s="2"/>
      <c r="G769" s="3"/>
    </row>
    <row r="770" spans="6:7" ht="14.25" customHeight="1" x14ac:dyDescent="0.35">
      <c r="F770" s="2"/>
      <c r="G770" s="3"/>
    </row>
    <row r="771" spans="6:7" ht="14.25" customHeight="1" x14ac:dyDescent="0.35">
      <c r="F771" s="2"/>
      <c r="G771" s="3"/>
    </row>
    <row r="772" spans="6:7" ht="14.25" customHeight="1" x14ac:dyDescent="0.35">
      <c r="F772" s="2"/>
      <c r="G772" s="3"/>
    </row>
    <row r="773" spans="6:7" ht="14.25" customHeight="1" x14ac:dyDescent="0.35">
      <c r="F773" s="2"/>
      <c r="G773" s="3"/>
    </row>
    <row r="774" spans="6:7" ht="14.25" customHeight="1" x14ac:dyDescent="0.35">
      <c r="F774" s="2"/>
      <c r="G774" s="3"/>
    </row>
    <row r="775" spans="6:7" ht="14.25" customHeight="1" x14ac:dyDescent="0.35">
      <c r="F775" s="2"/>
      <c r="G775" s="3"/>
    </row>
    <row r="776" spans="6:7" ht="14.25" customHeight="1" x14ac:dyDescent="0.35">
      <c r="F776" s="2"/>
      <c r="G776" s="3"/>
    </row>
    <row r="777" spans="6:7" ht="14.25" customHeight="1" x14ac:dyDescent="0.35">
      <c r="F777" s="2"/>
      <c r="G777" s="3"/>
    </row>
    <row r="778" spans="6:7" ht="14.25" customHeight="1" x14ac:dyDescent="0.35">
      <c r="F778" s="2"/>
      <c r="G778" s="3"/>
    </row>
    <row r="779" spans="6:7" ht="14.25" customHeight="1" x14ac:dyDescent="0.35">
      <c r="F779" s="2"/>
      <c r="G779" s="3"/>
    </row>
    <row r="780" spans="6:7" ht="14.25" customHeight="1" x14ac:dyDescent="0.35">
      <c r="F780" s="2"/>
      <c r="G780" s="3"/>
    </row>
    <row r="781" spans="6:7" ht="14.25" customHeight="1" x14ac:dyDescent="0.35">
      <c r="F781" s="2"/>
      <c r="G781" s="3"/>
    </row>
    <row r="782" spans="6:7" ht="14.25" customHeight="1" x14ac:dyDescent="0.35">
      <c r="F782" s="2"/>
      <c r="G782" s="3"/>
    </row>
    <row r="783" spans="6:7" ht="14.25" customHeight="1" x14ac:dyDescent="0.35">
      <c r="F783" s="2"/>
      <c r="G783" s="3"/>
    </row>
    <row r="784" spans="6:7" ht="14.25" customHeight="1" x14ac:dyDescent="0.35">
      <c r="F784" s="2"/>
      <c r="G784" s="3"/>
    </row>
    <row r="785" spans="6:7" ht="14.25" customHeight="1" x14ac:dyDescent="0.35">
      <c r="F785" s="2"/>
      <c r="G785" s="3"/>
    </row>
    <row r="786" spans="6:7" ht="14.25" customHeight="1" x14ac:dyDescent="0.35">
      <c r="F786" s="2"/>
      <c r="G786" s="3"/>
    </row>
    <row r="787" spans="6:7" ht="14.25" customHeight="1" x14ac:dyDescent="0.35">
      <c r="F787" s="2"/>
      <c r="G787" s="3"/>
    </row>
    <row r="788" spans="6:7" ht="14.25" customHeight="1" x14ac:dyDescent="0.35">
      <c r="F788" s="2"/>
      <c r="G788" s="3"/>
    </row>
    <row r="789" spans="6:7" ht="14.25" customHeight="1" x14ac:dyDescent="0.35">
      <c r="F789" s="2"/>
      <c r="G789" s="3"/>
    </row>
    <row r="790" spans="6:7" ht="14.25" customHeight="1" x14ac:dyDescent="0.35">
      <c r="F790" s="2"/>
      <c r="G790" s="3"/>
    </row>
    <row r="791" spans="6:7" ht="14.25" customHeight="1" x14ac:dyDescent="0.35">
      <c r="F791" s="2"/>
      <c r="G791" s="3"/>
    </row>
    <row r="792" spans="6:7" ht="14.25" customHeight="1" x14ac:dyDescent="0.35">
      <c r="F792" s="2"/>
      <c r="G792" s="3"/>
    </row>
    <row r="793" spans="6:7" ht="14.25" customHeight="1" x14ac:dyDescent="0.35">
      <c r="F793" s="2"/>
      <c r="G793" s="3"/>
    </row>
    <row r="794" spans="6:7" ht="14.25" customHeight="1" x14ac:dyDescent="0.35">
      <c r="F794" s="2"/>
      <c r="G794" s="3"/>
    </row>
    <row r="795" spans="6:7" ht="14.25" customHeight="1" x14ac:dyDescent="0.35">
      <c r="F795" s="2"/>
      <c r="G795" s="3"/>
    </row>
    <row r="796" spans="6:7" ht="14.25" customHeight="1" x14ac:dyDescent="0.35">
      <c r="F796" s="2"/>
      <c r="G796" s="3"/>
    </row>
    <row r="797" spans="6:7" ht="14.25" customHeight="1" x14ac:dyDescent="0.35">
      <c r="F797" s="2"/>
      <c r="G797" s="3"/>
    </row>
    <row r="798" spans="6:7" ht="14.25" customHeight="1" x14ac:dyDescent="0.35">
      <c r="F798" s="2"/>
      <c r="G798" s="3"/>
    </row>
    <row r="799" spans="6:7" ht="14.25" customHeight="1" x14ac:dyDescent="0.35">
      <c r="F799" s="2"/>
      <c r="G799" s="3"/>
    </row>
    <row r="800" spans="6:7" ht="14.25" customHeight="1" x14ac:dyDescent="0.35">
      <c r="F800" s="2"/>
      <c r="G800" s="3"/>
    </row>
    <row r="801" spans="6:7" ht="14.25" customHeight="1" x14ac:dyDescent="0.35">
      <c r="F801" s="2"/>
      <c r="G801" s="3"/>
    </row>
    <row r="802" spans="6:7" ht="14.25" customHeight="1" x14ac:dyDescent="0.35">
      <c r="F802" s="2"/>
      <c r="G802" s="3"/>
    </row>
    <row r="803" spans="6:7" ht="14.25" customHeight="1" x14ac:dyDescent="0.35">
      <c r="F803" s="2"/>
      <c r="G803" s="3"/>
    </row>
    <row r="804" spans="6:7" ht="14.25" customHeight="1" x14ac:dyDescent="0.35">
      <c r="F804" s="2"/>
      <c r="G804" s="3"/>
    </row>
    <row r="805" spans="6:7" ht="14.25" customHeight="1" x14ac:dyDescent="0.35">
      <c r="F805" s="2"/>
      <c r="G805" s="3"/>
    </row>
    <row r="806" spans="6:7" ht="14.25" customHeight="1" x14ac:dyDescent="0.35">
      <c r="F806" s="2"/>
      <c r="G806" s="3"/>
    </row>
    <row r="807" spans="6:7" ht="14.25" customHeight="1" x14ac:dyDescent="0.35">
      <c r="F807" s="2"/>
      <c r="G807" s="3"/>
    </row>
    <row r="808" spans="6:7" ht="14.25" customHeight="1" x14ac:dyDescent="0.35">
      <c r="F808" s="2"/>
      <c r="G808" s="3"/>
    </row>
    <row r="809" spans="6:7" ht="14.25" customHeight="1" x14ac:dyDescent="0.35">
      <c r="F809" s="2"/>
      <c r="G809" s="3"/>
    </row>
    <row r="810" spans="6:7" ht="14.25" customHeight="1" x14ac:dyDescent="0.35">
      <c r="F810" s="2"/>
      <c r="G810" s="3"/>
    </row>
    <row r="811" spans="6:7" ht="14.25" customHeight="1" x14ac:dyDescent="0.35">
      <c r="F811" s="2"/>
      <c r="G811" s="3"/>
    </row>
    <row r="812" spans="6:7" ht="14.25" customHeight="1" x14ac:dyDescent="0.35">
      <c r="F812" s="2"/>
      <c r="G812" s="3"/>
    </row>
    <row r="813" spans="6:7" ht="14.25" customHeight="1" x14ac:dyDescent="0.35">
      <c r="F813" s="2"/>
      <c r="G813" s="3"/>
    </row>
    <row r="814" spans="6:7" ht="14.25" customHeight="1" x14ac:dyDescent="0.35">
      <c r="F814" s="2"/>
      <c r="G814" s="3"/>
    </row>
    <row r="815" spans="6:7" ht="14.25" customHeight="1" x14ac:dyDescent="0.35">
      <c r="F815" s="2"/>
      <c r="G815" s="3"/>
    </row>
    <row r="816" spans="6:7" ht="14.25" customHeight="1" x14ac:dyDescent="0.35">
      <c r="F816" s="2"/>
      <c r="G816" s="3"/>
    </row>
    <row r="817" spans="6:7" ht="14.25" customHeight="1" x14ac:dyDescent="0.35">
      <c r="F817" s="2"/>
      <c r="G817" s="3"/>
    </row>
    <row r="818" spans="6:7" ht="14.25" customHeight="1" x14ac:dyDescent="0.35">
      <c r="F818" s="2"/>
      <c r="G818" s="3"/>
    </row>
    <row r="819" spans="6:7" ht="14.25" customHeight="1" x14ac:dyDescent="0.35">
      <c r="F819" s="2"/>
      <c r="G819" s="3"/>
    </row>
    <row r="820" spans="6:7" ht="14.25" customHeight="1" x14ac:dyDescent="0.35">
      <c r="F820" s="2"/>
      <c r="G820" s="3"/>
    </row>
    <row r="821" spans="6:7" ht="14.25" customHeight="1" x14ac:dyDescent="0.35">
      <c r="F821" s="2"/>
      <c r="G821" s="3"/>
    </row>
    <row r="822" spans="6:7" ht="14.25" customHeight="1" x14ac:dyDescent="0.35">
      <c r="F822" s="2"/>
      <c r="G822" s="3"/>
    </row>
    <row r="823" spans="6:7" ht="14.25" customHeight="1" x14ac:dyDescent="0.35">
      <c r="F823" s="2"/>
      <c r="G823" s="3"/>
    </row>
    <row r="824" spans="6:7" ht="14.25" customHeight="1" x14ac:dyDescent="0.35">
      <c r="F824" s="2"/>
      <c r="G824" s="3"/>
    </row>
    <row r="825" spans="6:7" ht="14.25" customHeight="1" x14ac:dyDescent="0.35">
      <c r="F825" s="2"/>
      <c r="G825" s="3"/>
    </row>
    <row r="826" spans="6:7" ht="14.25" customHeight="1" x14ac:dyDescent="0.35">
      <c r="F826" s="2"/>
      <c r="G826" s="3"/>
    </row>
    <row r="827" spans="6:7" ht="14.25" customHeight="1" x14ac:dyDescent="0.35">
      <c r="F827" s="2"/>
      <c r="G827" s="3"/>
    </row>
    <row r="828" spans="6:7" ht="14.25" customHeight="1" x14ac:dyDescent="0.35">
      <c r="F828" s="2"/>
      <c r="G828" s="3"/>
    </row>
    <row r="829" spans="6:7" ht="14.25" customHeight="1" x14ac:dyDescent="0.35">
      <c r="F829" s="2"/>
      <c r="G829" s="3"/>
    </row>
    <row r="830" spans="6:7" ht="14.25" customHeight="1" x14ac:dyDescent="0.35">
      <c r="F830" s="2"/>
      <c r="G830" s="3"/>
    </row>
    <row r="831" spans="6:7" ht="14.25" customHeight="1" x14ac:dyDescent="0.35">
      <c r="F831" s="2"/>
      <c r="G831" s="3"/>
    </row>
    <row r="832" spans="6:7" ht="14.25" customHeight="1" x14ac:dyDescent="0.35">
      <c r="F832" s="2"/>
      <c r="G832" s="3"/>
    </row>
    <row r="833" spans="6:7" ht="14.25" customHeight="1" x14ac:dyDescent="0.35">
      <c r="F833" s="2"/>
      <c r="G833" s="3"/>
    </row>
    <row r="834" spans="6:7" ht="14.25" customHeight="1" x14ac:dyDescent="0.35">
      <c r="F834" s="2"/>
      <c r="G834" s="3"/>
    </row>
    <row r="835" spans="6:7" ht="14.25" customHeight="1" x14ac:dyDescent="0.35">
      <c r="F835" s="2"/>
      <c r="G835" s="3"/>
    </row>
    <row r="836" spans="6:7" ht="14.25" customHeight="1" x14ac:dyDescent="0.35">
      <c r="F836" s="2"/>
      <c r="G836" s="3"/>
    </row>
    <row r="837" spans="6:7" ht="14.25" customHeight="1" x14ac:dyDescent="0.35">
      <c r="F837" s="2"/>
      <c r="G837" s="3"/>
    </row>
    <row r="838" spans="6:7" ht="14.25" customHeight="1" x14ac:dyDescent="0.35">
      <c r="F838" s="2"/>
      <c r="G838" s="3"/>
    </row>
    <row r="839" spans="6:7" ht="14.25" customHeight="1" x14ac:dyDescent="0.35">
      <c r="F839" s="2"/>
      <c r="G839" s="3"/>
    </row>
    <row r="840" spans="6:7" ht="14.25" customHeight="1" x14ac:dyDescent="0.35">
      <c r="F840" s="2"/>
      <c r="G840" s="3"/>
    </row>
    <row r="841" spans="6:7" ht="14.25" customHeight="1" x14ac:dyDescent="0.35">
      <c r="F841" s="2"/>
      <c r="G841" s="3"/>
    </row>
    <row r="842" spans="6:7" ht="14.25" customHeight="1" x14ac:dyDescent="0.35">
      <c r="F842" s="2"/>
      <c r="G842" s="3"/>
    </row>
    <row r="843" spans="6:7" ht="14.25" customHeight="1" x14ac:dyDescent="0.35">
      <c r="F843" s="2"/>
      <c r="G843" s="3"/>
    </row>
    <row r="844" spans="6:7" ht="14.25" customHeight="1" x14ac:dyDescent="0.35">
      <c r="F844" s="2"/>
      <c r="G844" s="3"/>
    </row>
    <row r="845" spans="6:7" ht="14.25" customHeight="1" x14ac:dyDescent="0.35">
      <c r="F845" s="2"/>
      <c r="G845" s="3"/>
    </row>
    <row r="846" spans="6:7" ht="14.25" customHeight="1" x14ac:dyDescent="0.35">
      <c r="F846" s="2"/>
      <c r="G846" s="3"/>
    </row>
    <row r="847" spans="6:7" ht="14.25" customHeight="1" x14ac:dyDescent="0.35">
      <c r="F847" s="2"/>
      <c r="G847" s="3"/>
    </row>
    <row r="848" spans="6:7" ht="14.25" customHeight="1" x14ac:dyDescent="0.35">
      <c r="F848" s="2"/>
      <c r="G848" s="3"/>
    </row>
    <row r="849" spans="6:7" ht="14.25" customHeight="1" x14ac:dyDescent="0.35">
      <c r="F849" s="2"/>
      <c r="G849" s="3"/>
    </row>
    <row r="850" spans="6:7" ht="14.25" customHeight="1" x14ac:dyDescent="0.35">
      <c r="F850" s="2"/>
      <c r="G850" s="3"/>
    </row>
    <row r="851" spans="6:7" ht="14.25" customHeight="1" x14ac:dyDescent="0.35">
      <c r="F851" s="2"/>
      <c r="G851" s="3"/>
    </row>
    <row r="852" spans="6:7" ht="14.25" customHeight="1" x14ac:dyDescent="0.35">
      <c r="F852" s="2"/>
      <c r="G852" s="3"/>
    </row>
    <row r="853" spans="6:7" ht="14.25" customHeight="1" x14ac:dyDescent="0.35">
      <c r="F853" s="2"/>
      <c r="G853" s="3"/>
    </row>
    <row r="854" spans="6:7" ht="14.25" customHeight="1" x14ac:dyDescent="0.35">
      <c r="F854" s="2"/>
      <c r="G854" s="3"/>
    </row>
    <row r="855" spans="6:7" ht="14.25" customHeight="1" x14ac:dyDescent="0.35">
      <c r="F855" s="2"/>
      <c r="G855" s="3"/>
    </row>
    <row r="856" spans="6:7" ht="14.25" customHeight="1" x14ac:dyDescent="0.35">
      <c r="F856" s="2"/>
      <c r="G856" s="3"/>
    </row>
    <row r="857" spans="6:7" ht="14.25" customHeight="1" x14ac:dyDescent="0.35">
      <c r="F857" s="2"/>
      <c r="G857" s="3"/>
    </row>
    <row r="858" spans="6:7" ht="14.25" customHeight="1" x14ac:dyDescent="0.35">
      <c r="F858" s="2"/>
      <c r="G858" s="3"/>
    </row>
    <row r="859" spans="6:7" ht="14.25" customHeight="1" x14ac:dyDescent="0.35">
      <c r="F859" s="2"/>
      <c r="G859" s="3"/>
    </row>
    <row r="860" spans="6:7" ht="14.25" customHeight="1" x14ac:dyDescent="0.35">
      <c r="F860" s="2"/>
      <c r="G860" s="3"/>
    </row>
    <row r="861" spans="6:7" ht="14.25" customHeight="1" x14ac:dyDescent="0.35">
      <c r="F861" s="2"/>
      <c r="G861" s="3"/>
    </row>
    <row r="862" spans="6:7" ht="14.25" customHeight="1" x14ac:dyDescent="0.35">
      <c r="F862" s="2"/>
      <c r="G862" s="3"/>
    </row>
    <row r="863" spans="6:7" ht="14.25" customHeight="1" x14ac:dyDescent="0.35">
      <c r="F863" s="2"/>
      <c r="G863" s="3"/>
    </row>
    <row r="864" spans="6:7" ht="14.25" customHeight="1" x14ac:dyDescent="0.35">
      <c r="F864" s="2"/>
      <c r="G864" s="3"/>
    </row>
    <row r="865" spans="6:7" ht="14.25" customHeight="1" x14ac:dyDescent="0.35">
      <c r="F865" s="2"/>
      <c r="G865" s="3"/>
    </row>
    <row r="866" spans="6:7" ht="14.25" customHeight="1" x14ac:dyDescent="0.35">
      <c r="F866" s="2"/>
      <c r="G866" s="3"/>
    </row>
    <row r="867" spans="6:7" ht="14.25" customHeight="1" x14ac:dyDescent="0.35">
      <c r="F867" s="2"/>
      <c r="G867" s="3"/>
    </row>
    <row r="868" spans="6:7" ht="14.25" customHeight="1" x14ac:dyDescent="0.35">
      <c r="F868" s="2"/>
      <c r="G868" s="3"/>
    </row>
    <row r="869" spans="6:7" ht="14.25" customHeight="1" x14ac:dyDescent="0.35">
      <c r="F869" s="2"/>
      <c r="G869" s="3"/>
    </row>
    <row r="870" spans="6:7" ht="14.25" customHeight="1" x14ac:dyDescent="0.35">
      <c r="F870" s="2"/>
      <c r="G870" s="3"/>
    </row>
    <row r="871" spans="6:7" ht="14.25" customHeight="1" x14ac:dyDescent="0.35">
      <c r="F871" s="2"/>
      <c r="G871" s="3"/>
    </row>
    <row r="872" spans="6:7" ht="14.25" customHeight="1" x14ac:dyDescent="0.35">
      <c r="F872" s="2"/>
      <c r="G872" s="3"/>
    </row>
    <row r="873" spans="6:7" ht="14.25" customHeight="1" x14ac:dyDescent="0.35">
      <c r="F873" s="2"/>
      <c r="G873" s="3"/>
    </row>
    <row r="874" spans="6:7" ht="14.25" customHeight="1" x14ac:dyDescent="0.35">
      <c r="F874" s="2"/>
      <c r="G874" s="3"/>
    </row>
    <row r="875" spans="6:7" ht="14.25" customHeight="1" x14ac:dyDescent="0.35">
      <c r="F875" s="2"/>
      <c r="G875" s="3"/>
    </row>
    <row r="876" spans="6:7" ht="14.25" customHeight="1" x14ac:dyDescent="0.35">
      <c r="F876" s="2"/>
      <c r="G876" s="3"/>
    </row>
    <row r="877" spans="6:7" ht="14.25" customHeight="1" x14ac:dyDescent="0.35">
      <c r="F877" s="2"/>
      <c r="G877" s="3"/>
    </row>
    <row r="878" spans="6:7" ht="14.25" customHeight="1" x14ac:dyDescent="0.35">
      <c r="F878" s="2"/>
      <c r="G878" s="3"/>
    </row>
    <row r="879" spans="6:7" ht="14.25" customHeight="1" x14ac:dyDescent="0.35">
      <c r="F879" s="2"/>
      <c r="G879" s="3"/>
    </row>
    <row r="880" spans="6:7" ht="14.25" customHeight="1" x14ac:dyDescent="0.35">
      <c r="F880" s="2"/>
      <c r="G880" s="3"/>
    </row>
    <row r="881" spans="6:7" ht="14.25" customHeight="1" x14ac:dyDescent="0.35">
      <c r="F881" s="2"/>
      <c r="G881" s="3"/>
    </row>
    <row r="882" spans="6:7" ht="14.25" customHeight="1" x14ac:dyDescent="0.35">
      <c r="F882" s="2"/>
      <c r="G882" s="3"/>
    </row>
    <row r="883" spans="6:7" ht="14.25" customHeight="1" x14ac:dyDescent="0.35">
      <c r="F883" s="2"/>
      <c r="G883" s="3"/>
    </row>
    <row r="884" spans="6:7" ht="14.25" customHeight="1" x14ac:dyDescent="0.35">
      <c r="F884" s="2"/>
      <c r="G884" s="3"/>
    </row>
    <row r="885" spans="6:7" ht="14.25" customHeight="1" x14ac:dyDescent="0.35">
      <c r="F885" s="2"/>
      <c r="G885" s="3"/>
    </row>
    <row r="886" spans="6:7" ht="14.25" customHeight="1" x14ac:dyDescent="0.35">
      <c r="F886" s="2"/>
      <c r="G886" s="3"/>
    </row>
    <row r="887" spans="6:7" ht="14.25" customHeight="1" x14ac:dyDescent="0.35">
      <c r="F887" s="2"/>
      <c r="G887" s="3"/>
    </row>
    <row r="888" spans="6:7" ht="14.25" customHeight="1" x14ac:dyDescent="0.35">
      <c r="F888" s="2"/>
      <c r="G888" s="3"/>
    </row>
    <row r="889" spans="6:7" ht="14.25" customHeight="1" x14ac:dyDescent="0.35">
      <c r="F889" s="2"/>
      <c r="G889" s="3"/>
    </row>
    <row r="890" spans="6:7" ht="14.25" customHeight="1" x14ac:dyDescent="0.35">
      <c r="F890" s="2"/>
      <c r="G890" s="3"/>
    </row>
    <row r="891" spans="6:7" ht="14.25" customHeight="1" x14ac:dyDescent="0.35">
      <c r="F891" s="2"/>
      <c r="G891" s="3"/>
    </row>
    <row r="892" spans="6:7" ht="14.25" customHeight="1" x14ac:dyDescent="0.35">
      <c r="F892" s="2"/>
      <c r="G892" s="3"/>
    </row>
    <row r="893" spans="6:7" ht="14.25" customHeight="1" x14ac:dyDescent="0.35">
      <c r="F893" s="2"/>
      <c r="G893" s="3"/>
    </row>
    <row r="894" spans="6:7" ht="14.25" customHeight="1" x14ac:dyDescent="0.35">
      <c r="F894" s="2"/>
      <c r="G894" s="3"/>
    </row>
    <row r="895" spans="6:7" ht="14.25" customHeight="1" x14ac:dyDescent="0.35">
      <c r="F895" s="2"/>
      <c r="G895" s="3"/>
    </row>
    <row r="896" spans="6:7" ht="14.25" customHeight="1" x14ac:dyDescent="0.35">
      <c r="F896" s="2"/>
      <c r="G896" s="3"/>
    </row>
    <row r="897" spans="6:7" ht="14.25" customHeight="1" x14ac:dyDescent="0.35">
      <c r="F897" s="2"/>
      <c r="G897" s="3"/>
    </row>
    <row r="898" spans="6:7" ht="14.25" customHeight="1" x14ac:dyDescent="0.35">
      <c r="F898" s="2"/>
      <c r="G898" s="3"/>
    </row>
    <row r="899" spans="6:7" ht="14.25" customHeight="1" x14ac:dyDescent="0.35">
      <c r="F899" s="2"/>
      <c r="G899" s="3"/>
    </row>
    <row r="900" spans="6:7" ht="14.25" customHeight="1" x14ac:dyDescent="0.35">
      <c r="F900" s="2"/>
      <c r="G900" s="3"/>
    </row>
    <row r="901" spans="6:7" ht="14.25" customHeight="1" x14ac:dyDescent="0.35">
      <c r="F901" s="2"/>
      <c r="G901" s="3"/>
    </row>
    <row r="902" spans="6:7" ht="14.25" customHeight="1" x14ac:dyDescent="0.35">
      <c r="F902" s="2"/>
      <c r="G902" s="3"/>
    </row>
    <row r="903" spans="6:7" ht="14.25" customHeight="1" x14ac:dyDescent="0.35">
      <c r="F903" s="2"/>
      <c r="G903" s="3"/>
    </row>
    <row r="904" spans="6:7" ht="14.25" customHeight="1" x14ac:dyDescent="0.35">
      <c r="F904" s="2"/>
      <c r="G904" s="3"/>
    </row>
    <row r="905" spans="6:7" ht="14.25" customHeight="1" x14ac:dyDescent="0.35">
      <c r="F905" s="2"/>
      <c r="G905" s="3"/>
    </row>
    <row r="906" spans="6:7" ht="14.25" customHeight="1" x14ac:dyDescent="0.35">
      <c r="F906" s="2"/>
      <c r="G906" s="3"/>
    </row>
    <row r="907" spans="6:7" ht="14.25" customHeight="1" x14ac:dyDescent="0.35">
      <c r="F907" s="2"/>
      <c r="G907" s="3"/>
    </row>
    <row r="908" spans="6:7" ht="14.25" customHeight="1" x14ac:dyDescent="0.35">
      <c r="F908" s="2"/>
      <c r="G908" s="3"/>
    </row>
    <row r="909" spans="6:7" ht="14.25" customHeight="1" x14ac:dyDescent="0.35">
      <c r="F909" s="2"/>
      <c r="G909" s="3"/>
    </row>
    <row r="910" spans="6:7" ht="14.25" customHeight="1" x14ac:dyDescent="0.35">
      <c r="F910" s="2"/>
      <c r="G910" s="3"/>
    </row>
    <row r="911" spans="6:7" ht="14.25" customHeight="1" x14ac:dyDescent="0.35">
      <c r="F911" s="2"/>
      <c r="G911" s="3"/>
    </row>
    <row r="912" spans="6:7" ht="14.25" customHeight="1" x14ac:dyDescent="0.35">
      <c r="F912" s="2"/>
      <c r="G912" s="3"/>
    </row>
    <row r="913" spans="6:7" ht="14.25" customHeight="1" x14ac:dyDescent="0.35">
      <c r="F913" s="2"/>
      <c r="G913" s="3"/>
    </row>
    <row r="914" spans="6:7" ht="14.25" customHeight="1" x14ac:dyDescent="0.35">
      <c r="F914" s="2"/>
      <c r="G914" s="3"/>
    </row>
    <row r="915" spans="6:7" ht="14.25" customHeight="1" x14ac:dyDescent="0.35">
      <c r="F915" s="2"/>
      <c r="G915" s="3"/>
    </row>
    <row r="916" spans="6:7" ht="14.25" customHeight="1" x14ac:dyDescent="0.35">
      <c r="F916" s="2"/>
      <c r="G916" s="3"/>
    </row>
    <row r="917" spans="6:7" ht="14.25" customHeight="1" x14ac:dyDescent="0.35">
      <c r="F917" s="2"/>
      <c r="G917" s="3"/>
    </row>
    <row r="918" spans="6:7" ht="14.25" customHeight="1" x14ac:dyDescent="0.35">
      <c r="F918" s="2"/>
      <c r="G918" s="3"/>
    </row>
    <row r="919" spans="6:7" ht="14.25" customHeight="1" x14ac:dyDescent="0.35">
      <c r="F919" s="2"/>
      <c r="G919" s="3"/>
    </row>
    <row r="920" spans="6:7" ht="14.25" customHeight="1" x14ac:dyDescent="0.35">
      <c r="F920" s="2"/>
      <c r="G920" s="3"/>
    </row>
    <row r="921" spans="6:7" ht="14.25" customHeight="1" x14ac:dyDescent="0.35">
      <c r="F921" s="2"/>
      <c r="G921" s="3"/>
    </row>
    <row r="922" spans="6:7" ht="14.25" customHeight="1" x14ac:dyDescent="0.35">
      <c r="F922" s="2"/>
      <c r="G922" s="3"/>
    </row>
    <row r="923" spans="6:7" ht="14.25" customHeight="1" x14ac:dyDescent="0.35">
      <c r="F923" s="2"/>
      <c r="G923" s="3"/>
    </row>
    <row r="924" spans="6:7" ht="14.25" customHeight="1" x14ac:dyDescent="0.35">
      <c r="F924" s="2"/>
      <c r="G924" s="3"/>
    </row>
    <row r="925" spans="6:7" ht="14.25" customHeight="1" x14ac:dyDescent="0.35">
      <c r="F925" s="2"/>
      <c r="G925" s="3"/>
    </row>
    <row r="926" spans="6:7" ht="14.25" customHeight="1" x14ac:dyDescent="0.35">
      <c r="F926" s="2"/>
      <c r="G926" s="3"/>
    </row>
    <row r="927" spans="6:7" ht="14.25" customHeight="1" x14ac:dyDescent="0.35">
      <c r="F927" s="2"/>
      <c r="G927" s="3"/>
    </row>
    <row r="928" spans="6:7" ht="14.25" customHeight="1" x14ac:dyDescent="0.35">
      <c r="F928" s="2"/>
      <c r="G928" s="3"/>
    </row>
    <row r="929" spans="6:7" ht="14.25" customHeight="1" x14ac:dyDescent="0.35">
      <c r="F929" s="2"/>
      <c r="G929" s="3"/>
    </row>
    <row r="930" spans="6:7" ht="14.25" customHeight="1" x14ac:dyDescent="0.35">
      <c r="F930" s="2"/>
      <c r="G930" s="3"/>
    </row>
    <row r="931" spans="6:7" ht="14.25" customHeight="1" x14ac:dyDescent="0.35">
      <c r="F931" s="2"/>
      <c r="G931" s="3"/>
    </row>
    <row r="932" spans="6:7" ht="14.25" customHeight="1" x14ac:dyDescent="0.35">
      <c r="F932" s="2"/>
      <c r="G932" s="3"/>
    </row>
    <row r="933" spans="6:7" ht="14.25" customHeight="1" x14ac:dyDescent="0.35">
      <c r="F933" s="2"/>
      <c r="G933" s="3"/>
    </row>
    <row r="934" spans="6:7" ht="14.25" customHeight="1" x14ac:dyDescent="0.35">
      <c r="F934" s="2"/>
      <c r="G934" s="3"/>
    </row>
    <row r="935" spans="6:7" ht="14.25" customHeight="1" x14ac:dyDescent="0.35">
      <c r="F935" s="2"/>
      <c r="G935" s="3"/>
    </row>
    <row r="936" spans="6:7" ht="14.25" customHeight="1" x14ac:dyDescent="0.35">
      <c r="F936" s="2"/>
      <c r="G936" s="3"/>
    </row>
    <row r="937" spans="6:7" ht="14.25" customHeight="1" x14ac:dyDescent="0.35">
      <c r="F937" s="2"/>
      <c r="G937" s="3"/>
    </row>
    <row r="938" spans="6:7" ht="14.25" customHeight="1" x14ac:dyDescent="0.35">
      <c r="F938" s="2"/>
      <c r="G938" s="3"/>
    </row>
    <row r="939" spans="6:7" ht="14.25" customHeight="1" x14ac:dyDescent="0.35">
      <c r="F939" s="2"/>
      <c r="G939" s="3"/>
    </row>
    <row r="940" spans="6:7" ht="14.25" customHeight="1" x14ac:dyDescent="0.35">
      <c r="F940" s="2"/>
      <c r="G940" s="3"/>
    </row>
    <row r="941" spans="6:7" ht="14.25" customHeight="1" x14ac:dyDescent="0.35">
      <c r="F941" s="2"/>
      <c r="G941" s="3"/>
    </row>
    <row r="942" spans="6:7" ht="14.25" customHeight="1" x14ac:dyDescent="0.35">
      <c r="F942" s="2"/>
      <c r="G942" s="3"/>
    </row>
    <row r="943" spans="6:7" ht="14.25" customHeight="1" x14ac:dyDescent="0.35">
      <c r="F943" s="2"/>
      <c r="G943" s="3"/>
    </row>
    <row r="944" spans="6:7" ht="14.25" customHeight="1" x14ac:dyDescent="0.35">
      <c r="F944" s="2"/>
      <c r="G944" s="3"/>
    </row>
    <row r="945" spans="6:7" ht="14.25" customHeight="1" x14ac:dyDescent="0.35">
      <c r="F945" s="2"/>
      <c r="G945" s="3"/>
    </row>
    <row r="946" spans="6:7" ht="14.25" customHeight="1" x14ac:dyDescent="0.35">
      <c r="F946" s="2"/>
      <c r="G946" s="3"/>
    </row>
    <row r="947" spans="6:7" ht="14.25" customHeight="1" x14ac:dyDescent="0.35">
      <c r="F947" s="2"/>
      <c r="G947" s="3"/>
    </row>
    <row r="948" spans="6:7" ht="14.25" customHeight="1" x14ac:dyDescent="0.35">
      <c r="F948" s="2"/>
      <c r="G948" s="3"/>
    </row>
    <row r="949" spans="6:7" ht="14.25" customHeight="1" x14ac:dyDescent="0.35">
      <c r="F949" s="2"/>
      <c r="G949" s="3"/>
    </row>
    <row r="950" spans="6:7" ht="14.25" customHeight="1" x14ac:dyDescent="0.35">
      <c r="F950" s="2"/>
      <c r="G950" s="3"/>
    </row>
    <row r="951" spans="6:7" ht="14.25" customHeight="1" x14ac:dyDescent="0.35">
      <c r="F951" s="2"/>
      <c r="G951" s="3"/>
    </row>
    <row r="952" spans="6:7" ht="14.25" customHeight="1" x14ac:dyDescent="0.35">
      <c r="F952" s="2"/>
      <c r="G952" s="3"/>
    </row>
    <row r="953" spans="6:7" ht="14.25" customHeight="1" x14ac:dyDescent="0.35">
      <c r="F953" s="2"/>
      <c r="G953" s="3"/>
    </row>
    <row r="954" spans="6:7" ht="14.25" customHeight="1" x14ac:dyDescent="0.35">
      <c r="F954" s="2"/>
      <c r="G954" s="3"/>
    </row>
    <row r="955" spans="6:7" ht="14.25" customHeight="1" x14ac:dyDescent="0.35">
      <c r="F955" s="2"/>
      <c r="G955" s="3"/>
    </row>
    <row r="956" spans="6:7" ht="14.25" customHeight="1" x14ac:dyDescent="0.35">
      <c r="F956" s="2"/>
      <c r="G956" s="3"/>
    </row>
    <row r="957" spans="6:7" ht="14.25" customHeight="1" x14ac:dyDescent="0.35">
      <c r="F957" s="2"/>
      <c r="G957" s="3"/>
    </row>
    <row r="958" spans="6:7" ht="14.25" customHeight="1" x14ac:dyDescent="0.35">
      <c r="F958" s="2"/>
      <c r="G958" s="3"/>
    </row>
    <row r="959" spans="6:7" ht="14.25" customHeight="1" x14ac:dyDescent="0.35">
      <c r="F959" s="2"/>
      <c r="G959" s="3"/>
    </row>
    <row r="960" spans="6:7" ht="14.25" customHeight="1" x14ac:dyDescent="0.35">
      <c r="F960" s="2"/>
      <c r="G960" s="3"/>
    </row>
    <row r="961" spans="6:7" ht="14.25" customHeight="1" x14ac:dyDescent="0.35">
      <c r="F961" s="2"/>
      <c r="G961" s="3"/>
    </row>
    <row r="962" spans="6:7" ht="14.25" customHeight="1" x14ac:dyDescent="0.35">
      <c r="F962" s="2"/>
      <c r="G962" s="3"/>
    </row>
    <row r="963" spans="6:7" ht="14.25" customHeight="1" x14ac:dyDescent="0.35">
      <c r="F963" s="2"/>
      <c r="G963" s="3"/>
    </row>
    <row r="964" spans="6:7" ht="14.25" customHeight="1" x14ac:dyDescent="0.35">
      <c r="F964" s="2"/>
      <c r="G964" s="3"/>
    </row>
    <row r="965" spans="6:7" ht="14.25" customHeight="1" x14ac:dyDescent="0.35">
      <c r="F965" s="2"/>
      <c r="G965" s="3"/>
    </row>
    <row r="966" spans="6:7" ht="14.25" customHeight="1" x14ac:dyDescent="0.35">
      <c r="F966" s="2"/>
      <c r="G966" s="3"/>
    </row>
    <row r="967" spans="6:7" ht="14.25" customHeight="1" x14ac:dyDescent="0.35">
      <c r="F967" s="2"/>
      <c r="G967" s="3"/>
    </row>
    <row r="968" spans="6:7" ht="14.25" customHeight="1" x14ac:dyDescent="0.35">
      <c r="F968" s="2"/>
      <c r="G968" s="3"/>
    </row>
    <row r="969" spans="6:7" ht="14.25" customHeight="1" x14ac:dyDescent="0.35">
      <c r="F969" s="2"/>
      <c r="G969" s="3"/>
    </row>
    <row r="970" spans="6:7" ht="14.25" customHeight="1" x14ac:dyDescent="0.35">
      <c r="F970" s="2"/>
      <c r="G970" s="3"/>
    </row>
    <row r="971" spans="6:7" ht="14.25" customHeight="1" x14ac:dyDescent="0.35">
      <c r="F971" s="2"/>
      <c r="G971" s="3"/>
    </row>
    <row r="972" spans="6:7" ht="14.25" customHeight="1" x14ac:dyDescent="0.35">
      <c r="F972" s="2"/>
      <c r="G972" s="3"/>
    </row>
    <row r="973" spans="6:7" ht="14.25" customHeight="1" x14ac:dyDescent="0.35">
      <c r="F973" s="2"/>
      <c r="G973" s="3"/>
    </row>
    <row r="974" spans="6:7" ht="14.25" customHeight="1" x14ac:dyDescent="0.35">
      <c r="F974" s="2"/>
      <c r="G974" s="3"/>
    </row>
    <row r="975" spans="6:7" ht="14.25" customHeight="1" x14ac:dyDescent="0.35">
      <c r="F975" s="2"/>
      <c r="G975" s="3"/>
    </row>
    <row r="976" spans="6:7" ht="14.25" customHeight="1" x14ac:dyDescent="0.35">
      <c r="F976" s="2"/>
      <c r="G976" s="3"/>
    </row>
    <row r="977" spans="6:7" ht="14.25" customHeight="1" x14ac:dyDescent="0.35">
      <c r="F977" s="2"/>
      <c r="G977" s="3"/>
    </row>
    <row r="978" spans="6:7" ht="14.25" customHeight="1" x14ac:dyDescent="0.35">
      <c r="F978" s="2"/>
      <c r="G978" s="3"/>
    </row>
    <row r="979" spans="6:7" ht="14.25" customHeight="1" x14ac:dyDescent="0.35">
      <c r="F979" s="2"/>
      <c r="G979" s="3"/>
    </row>
    <row r="980" spans="6:7" ht="14.25" customHeight="1" x14ac:dyDescent="0.35">
      <c r="F980" s="2"/>
      <c r="G980" s="3"/>
    </row>
    <row r="981" spans="6:7" ht="14.25" customHeight="1" x14ac:dyDescent="0.35">
      <c r="F981" s="2"/>
      <c r="G981" s="3"/>
    </row>
    <row r="982" spans="6:7" ht="14.25" customHeight="1" x14ac:dyDescent="0.35">
      <c r="F982" s="2"/>
      <c r="G982" s="3"/>
    </row>
    <row r="983" spans="6:7" ht="14.25" customHeight="1" x14ac:dyDescent="0.35">
      <c r="F983" s="2"/>
      <c r="G983" s="3"/>
    </row>
    <row r="984" spans="6:7" ht="14.25" customHeight="1" x14ac:dyDescent="0.35">
      <c r="F984" s="2"/>
      <c r="G984" s="3"/>
    </row>
    <row r="985" spans="6:7" ht="14.25" customHeight="1" x14ac:dyDescent="0.35">
      <c r="F985" s="2"/>
      <c r="G985" s="3"/>
    </row>
    <row r="986" spans="6:7" ht="14.25" customHeight="1" x14ac:dyDescent="0.35">
      <c r="F986" s="2"/>
      <c r="G986" s="3"/>
    </row>
    <row r="987" spans="6:7" ht="14.25" customHeight="1" x14ac:dyDescent="0.35">
      <c r="F987" s="2"/>
      <c r="G987" s="3"/>
    </row>
    <row r="988" spans="6:7" ht="14.25" customHeight="1" x14ac:dyDescent="0.35">
      <c r="F988" s="2"/>
      <c r="G988" s="3"/>
    </row>
    <row r="989" spans="6:7" ht="14.25" customHeight="1" x14ac:dyDescent="0.35">
      <c r="F989" s="2"/>
      <c r="G989" s="3"/>
    </row>
    <row r="990" spans="6:7" ht="14.25" customHeight="1" x14ac:dyDescent="0.35">
      <c r="F990" s="2"/>
      <c r="G990" s="3"/>
    </row>
    <row r="991" spans="6:7" ht="14.25" customHeight="1" x14ac:dyDescent="0.35">
      <c r="F991" s="2"/>
      <c r="G991" s="3"/>
    </row>
    <row r="992" spans="6:7" ht="14.25" customHeight="1" x14ac:dyDescent="0.35">
      <c r="F992" s="2"/>
      <c r="G992" s="3"/>
    </row>
    <row r="993" spans="6:7" ht="14.25" customHeight="1" x14ac:dyDescent="0.35">
      <c r="F993" s="2"/>
      <c r="G993" s="3"/>
    </row>
    <row r="994" spans="6:7" ht="14.25" customHeight="1" x14ac:dyDescent="0.35">
      <c r="F994" s="2"/>
      <c r="G994" s="3"/>
    </row>
    <row r="995" spans="6:7" ht="14.25" customHeight="1" x14ac:dyDescent="0.35">
      <c r="F995" s="2"/>
      <c r="G995" s="3"/>
    </row>
    <row r="996" spans="6:7" ht="14.25" customHeight="1" x14ac:dyDescent="0.35">
      <c r="F996" s="2"/>
      <c r="G996" s="3"/>
    </row>
    <row r="997" spans="6:7" ht="14.25" customHeight="1" x14ac:dyDescent="0.35">
      <c r="F997" s="2"/>
      <c r="G997" s="3"/>
    </row>
    <row r="998" spans="6:7" ht="14.25" customHeight="1" x14ac:dyDescent="0.35">
      <c r="F998" s="2"/>
      <c r="G998" s="3"/>
    </row>
    <row r="999" spans="6:7" ht="14.25" customHeight="1" x14ac:dyDescent="0.35">
      <c r="F999" s="2"/>
      <c r="G999" s="3"/>
    </row>
    <row r="1000" spans="6:7" ht="14.25" customHeight="1" x14ac:dyDescent="0.35">
      <c r="F1000" s="2"/>
      <c r="G1000" s="3"/>
    </row>
    <row r="1001" spans="6:7" ht="14.25" customHeight="1" x14ac:dyDescent="0.35">
      <c r="F1001" s="2"/>
      <c r="G1001" s="3"/>
    </row>
    <row r="1002" spans="6:7" ht="14.25" customHeight="1" x14ac:dyDescent="0.35">
      <c r="F1002" s="2"/>
      <c r="G1002" s="3"/>
    </row>
    <row r="1003" spans="6:7" ht="14.25" customHeight="1" x14ac:dyDescent="0.35">
      <c r="F1003" s="2"/>
      <c r="G1003" s="3"/>
    </row>
    <row r="1004" spans="6:7" ht="14.25" customHeight="1" x14ac:dyDescent="0.35">
      <c r="F1004" s="2"/>
      <c r="G1004" s="3"/>
    </row>
    <row r="1005" spans="6:7" ht="14.25" customHeight="1" x14ac:dyDescent="0.35">
      <c r="F1005" s="2"/>
      <c r="G1005" s="3"/>
    </row>
    <row r="1006" spans="6:7" ht="14.25" customHeight="1" x14ac:dyDescent="0.35">
      <c r="F1006" s="2"/>
      <c r="G1006" s="3"/>
    </row>
    <row r="1007" spans="6:7" ht="14.25" customHeight="1" x14ac:dyDescent="0.35">
      <c r="F1007" s="2"/>
      <c r="G1007" s="3"/>
    </row>
    <row r="1008" spans="6:7" ht="14.25" customHeight="1" x14ac:dyDescent="0.35">
      <c r="F1008" s="2"/>
      <c r="G1008" s="3"/>
    </row>
    <row r="1009" spans="6:7" ht="14.25" customHeight="1" x14ac:dyDescent="0.35">
      <c r="F1009" s="2"/>
      <c r="G1009" s="3"/>
    </row>
    <row r="1010" spans="6:7" ht="14.25" customHeight="1" x14ac:dyDescent="0.35">
      <c r="F1010" s="2"/>
      <c r="G1010" s="3"/>
    </row>
    <row r="1011" spans="6:7" ht="14.25" customHeight="1" x14ac:dyDescent="0.35">
      <c r="F1011" s="2"/>
      <c r="G1011" s="3"/>
    </row>
    <row r="1012" spans="6:7" ht="14.25" customHeight="1" x14ac:dyDescent="0.35">
      <c r="F1012" s="2"/>
      <c r="G1012" s="3"/>
    </row>
    <row r="1013" spans="6:7" ht="14.25" customHeight="1" x14ac:dyDescent="0.35">
      <c r="F1013" s="2"/>
      <c r="G1013" s="3"/>
    </row>
    <row r="1014" spans="6:7" ht="14.25" customHeight="1" x14ac:dyDescent="0.35">
      <c r="F1014" s="2"/>
      <c r="G1014" s="3"/>
    </row>
    <row r="1015" spans="6:7" ht="14.25" customHeight="1" x14ac:dyDescent="0.35">
      <c r="F1015" s="2"/>
      <c r="G1015" s="3"/>
    </row>
    <row r="1016" spans="6:7" ht="14.25" customHeight="1" x14ac:dyDescent="0.35">
      <c r="F1016" s="2"/>
      <c r="G1016" s="3"/>
    </row>
    <row r="1017" spans="6:7" ht="14.25" customHeight="1" x14ac:dyDescent="0.35">
      <c r="F1017" s="2"/>
      <c r="G1017" s="3"/>
    </row>
    <row r="1018" spans="6:7" ht="14.25" customHeight="1" x14ac:dyDescent="0.35">
      <c r="F1018" s="2"/>
      <c r="G1018" s="3"/>
    </row>
    <row r="1019" spans="6:7" ht="14.25" customHeight="1" x14ac:dyDescent="0.35">
      <c r="F1019" s="2"/>
      <c r="G1019" s="3"/>
    </row>
    <row r="1020" spans="6:7" ht="14.25" customHeight="1" x14ac:dyDescent="0.35">
      <c r="F1020" s="2"/>
      <c r="G1020" s="3"/>
    </row>
    <row r="1021" spans="6:7" ht="14.25" customHeight="1" x14ac:dyDescent="0.35">
      <c r="F1021" s="2"/>
      <c r="G1021" s="3"/>
    </row>
    <row r="1022" spans="6:7" ht="14.25" customHeight="1" x14ac:dyDescent="0.35">
      <c r="F1022" s="2"/>
      <c r="G1022" s="3"/>
    </row>
    <row r="1023" spans="6:7" ht="14.25" customHeight="1" x14ac:dyDescent="0.35">
      <c r="F1023" s="2"/>
      <c r="G1023" s="3"/>
    </row>
    <row r="1024" spans="6:7" ht="14.25" customHeight="1" x14ac:dyDescent="0.35">
      <c r="F1024" s="2"/>
      <c r="G1024" s="3"/>
    </row>
    <row r="1025" s="1" customFormat="1" ht="15" customHeight="1" x14ac:dyDescent="0.35"/>
    <row r="1026" s="1" customFormat="1" ht="15" customHeight="1" x14ac:dyDescent="0.35"/>
    <row r="1027" s="1" customFormat="1" ht="15" customHeight="1" x14ac:dyDescent="0.35"/>
    <row r="1028" s="1" customFormat="1" ht="15" customHeight="1" x14ac:dyDescent="0.35"/>
    <row r="1029" s="1" customFormat="1" ht="15" customHeight="1" x14ac:dyDescent="0.35"/>
    <row r="1030" s="1" customFormat="1" ht="15" customHeight="1" x14ac:dyDescent="0.35"/>
    <row r="1031" s="1" customFormat="1" ht="15" customHeight="1" x14ac:dyDescent="0.35"/>
    <row r="1032" s="1" customFormat="1" ht="15" customHeight="1" x14ac:dyDescent="0.35"/>
    <row r="1033" s="1" customFormat="1" ht="15" customHeight="1" x14ac:dyDescent="0.35"/>
    <row r="1034" s="1" customFormat="1" ht="15" customHeight="1" x14ac:dyDescent="0.35"/>
  </sheetData>
  <mergeCells count="31">
    <mergeCell ref="B2:E2"/>
    <mergeCell ref="B3:E15"/>
    <mergeCell ref="B17:D17"/>
    <mergeCell ref="B18:C18"/>
    <mergeCell ref="B19:C19"/>
    <mergeCell ref="B20:C20"/>
    <mergeCell ref="B21:C21"/>
    <mergeCell ref="B22:C22"/>
    <mergeCell ref="B23:C23"/>
    <mergeCell ref="F27:H27"/>
    <mergeCell ref="F29:H29"/>
    <mergeCell ref="F28:H28"/>
    <mergeCell ref="B89:D89"/>
    <mergeCell ref="B36:C36"/>
    <mergeCell ref="B37:D37"/>
    <mergeCell ref="B50:D50"/>
    <mergeCell ref="B63:D63"/>
    <mergeCell ref="B76:D76"/>
    <mergeCell ref="F30:H30"/>
    <mergeCell ref="F31:H31"/>
    <mergeCell ref="F32:H32"/>
    <mergeCell ref="B102:D102"/>
    <mergeCell ref="B115:D115"/>
    <mergeCell ref="F120:G120"/>
    <mergeCell ref="I120:K120"/>
    <mergeCell ref="B121:D121"/>
    <mergeCell ref="F121:G121"/>
    <mergeCell ref="B119:D119"/>
    <mergeCell ref="B116:D116"/>
    <mergeCell ref="B117:D117"/>
    <mergeCell ref="B118:D118"/>
  </mergeCells>
  <dataValidations count="1">
    <dataValidation type="list" allowBlank="1" showErrorMessage="1" sqref="E77:E88 E64:E75 E103:E114 E51:E62 E38:E49 E90:E101" xr:uid="{FB0C131B-B07F-42BC-821B-4A0CA0BE2A82}">
      <formula1>"QA,PIP,PCA,Other"</formula1>
    </dataValidation>
  </dataValidations>
  <pageMargins left="0.25" right="0.25" top="0.25" bottom="0.25" header="0.25" footer="0.25"/>
  <pageSetup paperSize="5" scale="36" orientation="landscape" r:id="rId1"/>
  <headerFooter>
    <oddFooter>&amp;C&amp;"-,Bold" Confidential&amp;RPage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D68C-5E03-44AB-9EEB-CDA69FA71F02}">
  <sheetPr>
    <tabColor theme="4" tint="-0.249977111117893"/>
    <pageSetUpPr fitToPage="1"/>
  </sheetPr>
  <dimension ref="A1:AB1034"/>
  <sheetViews>
    <sheetView showGridLines="0" zoomScale="85" zoomScaleNormal="85" workbookViewId="0"/>
  </sheetViews>
  <sheetFormatPr defaultColWidth="12.58203125" defaultRowHeight="15" customHeight="1" x14ac:dyDescent="0.35"/>
  <cols>
    <col min="1" max="1" width="1.58203125" style="1" customWidth="1"/>
    <col min="2" max="2" width="5.25" style="1" customWidth="1"/>
    <col min="3" max="3" width="38.33203125" style="1" customWidth="1"/>
    <col min="4" max="4" width="37.58203125" style="1" customWidth="1"/>
    <col min="5" max="5" width="11" style="1" customWidth="1"/>
    <col min="6" max="6" width="10.08203125" style="1" customWidth="1"/>
    <col min="7" max="7" width="14.33203125" style="1" customWidth="1"/>
    <col min="8" max="8" width="14.08203125" style="1" customWidth="1"/>
    <col min="9" max="25" width="15.33203125" style="1" customWidth="1"/>
    <col min="26" max="26" width="8" style="1" customWidth="1"/>
    <col min="27" max="16384" width="12.58203125" style="1"/>
  </cols>
  <sheetData>
    <row r="1" spans="2:28" ht="14.25" customHeight="1" thickBot="1" x14ac:dyDescent="0.4">
      <c r="F1" s="2"/>
      <c r="G1" s="3"/>
    </row>
    <row r="2" spans="2:28" ht="16" thickBot="1" x14ac:dyDescent="0.4">
      <c r="B2" s="177" t="s">
        <v>0</v>
      </c>
      <c r="C2" s="178"/>
      <c r="D2" s="178"/>
      <c r="E2" s="179"/>
      <c r="F2" s="2"/>
      <c r="G2" s="3"/>
      <c r="H2" s="3"/>
      <c r="I2" s="3"/>
      <c r="J2" s="3"/>
      <c r="K2" s="3"/>
      <c r="L2" s="3"/>
      <c r="M2" s="3"/>
      <c r="N2" s="3"/>
      <c r="O2" s="3"/>
      <c r="P2" s="3"/>
      <c r="Q2" s="3"/>
      <c r="R2" s="3"/>
    </row>
    <row r="3" spans="2:28" ht="21.75" customHeight="1" x14ac:dyDescent="0.35">
      <c r="B3" s="180" t="s">
        <v>121</v>
      </c>
      <c r="C3" s="181"/>
      <c r="D3" s="181"/>
      <c r="E3" s="182"/>
      <c r="F3" s="2"/>
      <c r="G3" s="3"/>
      <c r="H3" s="3"/>
      <c r="I3" s="3"/>
      <c r="J3" s="3"/>
      <c r="K3" s="3"/>
      <c r="L3" s="3"/>
      <c r="M3" s="3"/>
      <c r="N3" s="3"/>
      <c r="O3" s="3"/>
      <c r="P3" s="3"/>
      <c r="Q3" s="3"/>
      <c r="R3" s="3"/>
    </row>
    <row r="4" spans="2:28" ht="19.5" customHeight="1" x14ac:dyDescent="0.35">
      <c r="B4" s="183"/>
      <c r="C4" s="184"/>
      <c r="D4" s="184"/>
      <c r="E4" s="185"/>
      <c r="F4" s="2"/>
      <c r="G4" s="3"/>
      <c r="H4" s="3"/>
      <c r="I4" s="3"/>
      <c r="J4" s="3"/>
      <c r="K4" s="3"/>
      <c r="L4" s="3"/>
      <c r="M4" s="3"/>
      <c r="N4" s="3"/>
      <c r="O4" s="3"/>
      <c r="P4" s="3"/>
      <c r="Q4" s="3"/>
      <c r="R4" s="3"/>
    </row>
    <row r="5" spans="2:28" ht="22.5" customHeight="1" x14ac:dyDescent="0.35">
      <c r="B5" s="183"/>
      <c r="C5" s="184"/>
      <c r="D5" s="184"/>
      <c r="E5" s="185"/>
      <c r="F5" s="2"/>
      <c r="G5" s="3"/>
      <c r="H5" s="3"/>
      <c r="I5" s="3"/>
      <c r="J5" s="3"/>
      <c r="K5" s="3"/>
      <c r="L5" s="3"/>
      <c r="M5" s="3"/>
      <c r="N5" s="3"/>
      <c r="O5" s="3"/>
      <c r="P5" s="3"/>
      <c r="Q5" s="3"/>
      <c r="R5" s="3"/>
    </row>
    <row r="6" spans="2:28" ht="14.25" customHeight="1" x14ac:dyDescent="0.35">
      <c r="B6" s="183"/>
      <c r="C6" s="184"/>
      <c r="D6" s="184"/>
      <c r="E6" s="185"/>
      <c r="F6" s="2"/>
      <c r="G6" s="3"/>
      <c r="H6" s="3"/>
      <c r="I6" s="3"/>
      <c r="J6" s="3"/>
      <c r="K6" s="3"/>
      <c r="L6" s="3"/>
      <c r="M6" s="3"/>
      <c r="N6" s="3"/>
      <c r="O6" s="3"/>
      <c r="P6" s="3"/>
      <c r="Q6" s="3"/>
      <c r="R6" s="3"/>
    </row>
    <row r="7" spans="2:28" ht="14.25" customHeight="1" x14ac:dyDescent="0.35">
      <c r="B7" s="183"/>
      <c r="C7" s="184"/>
      <c r="D7" s="184"/>
      <c r="E7" s="185"/>
      <c r="F7" s="2"/>
      <c r="G7" s="3"/>
      <c r="H7" s="3"/>
      <c r="I7" s="3"/>
      <c r="J7" s="3"/>
      <c r="K7" s="3"/>
      <c r="L7" s="3"/>
      <c r="M7" s="3"/>
      <c r="N7" s="3"/>
      <c r="O7" s="3"/>
      <c r="P7" s="3"/>
      <c r="Q7" s="3"/>
      <c r="R7" s="3"/>
    </row>
    <row r="8" spans="2:28" ht="14.25" customHeight="1" x14ac:dyDescent="0.35">
      <c r="B8" s="183"/>
      <c r="C8" s="184"/>
      <c r="D8" s="184"/>
      <c r="E8" s="185"/>
      <c r="F8" s="2"/>
      <c r="G8" s="3"/>
      <c r="H8" s="3"/>
      <c r="I8" s="3"/>
      <c r="J8" s="3"/>
      <c r="K8" s="3"/>
      <c r="L8" s="3"/>
      <c r="M8" s="3"/>
      <c r="N8" s="3"/>
      <c r="O8" s="3"/>
      <c r="P8" s="3"/>
      <c r="Q8" s="3"/>
      <c r="R8" s="3"/>
    </row>
    <row r="9" spans="2:28" ht="14.25" customHeight="1" x14ac:dyDescent="0.35">
      <c r="B9" s="183"/>
      <c r="C9" s="184"/>
      <c r="D9" s="184"/>
      <c r="E9" s="185"/>
      <c r="F9" s="2"/>
      <c r="G9" s="3"/>
    </row>
    <row r="10" spans="2:28" ht="14.25" customHeight="1" x14ac:dyDescent="0.35">
      <c r="B10" s="183"/>
      <c r="C10" s="184"/>
      <c r="D10" s="184"/>
      <c r="E10" s="185"/>
      <c r="F10" s="2"/>
      <c r="G10" s="3"/>
    </row>
    <row r="11" spans="2:28" ht="14.25" customHeight="1" x14ac:dyDescent="0.35">
      <c r="B11" s="183"/>
      <c r="C11" s="184"/>
      <c r="D11" s="184"/>
      <c r="E11" s="185"/>
      <c r="F11" s="2"/>
      <c r="G11" s="3"/>
    </row>
    <row r="12" spans="2:28" ht="14.25" customHeight="1" x14ac:dyDescent="0.35">
      <c r="B12" s="183"/>
      <c r="C12" s="184"/>
      <c r="D12" s="184"/>
      <c r="E12" s="185"/>
      <c r="F12" s="2"/>
      <c r="G12" s="3"/>
    </row>
    <row r="13" spans="2:28" ht="14.25" customHeight="1" x14ac:dyDescent="0.35">
      <c r="B13" s="183"/>
      <c r="C13" s="184"/>
      <c r="D13" s="184"/>
      <c r="E13" s="185"/>
      <c r="F13" s="2"/>
      <c r="G13" s="3"/>
    </row>
    <row r="14" spans="2:28" ht="14.25" customHeight="1" x14ac:dyDescent="0.35">
      <c r="B14" s="183"/>
      <c r="C14" s="184"/>
      <c r="D14" s="184"/>
      <c r="E14" s="185"/>
      <c r="F14" s="2"/>
      <c r="G14" s="3"/>
    </row>
    <row r="15" spans="2:28" ht="14.25" customHeight="1" thickBot="1" x14ac:dyDescent="0.4">
      <c r="B15" s="186"/>
      <c r="C15" s="187"/>
      <c r="D15" s="187"/>
      <c r="E15" s="188"/>
      <c r="F15" s="2"/>
      <c r="G15" s="3"/>
    </row>
    <row r="16" spans="2:28" ht="18.75" customHeight="1" thickBot="1" x14ac:dyDescent="0.4">
      <c r="E16" s="3"/>
      <c r="F16" s="3"/>
      <c r="G16" s="3"/>
      <c r="H16" s="3"/>
      <c r="I16" s="3"/>
      <c r="J16" s="3"/>
      <c r="K16" s="3"/>
      <c r="L16" s="3"/>
      <c r="M16" s="3"/>
      <c r="N16" s="3"/>
      <c r="O16" s="3"/>
      <c r="P16" s="3"/>
      <c r="Q16" s="3"/>
      <c r="R16" s="3"/>
      <c r="S16" s="3"/>
      <c r="T16" s="3"/>
      <c r="U16" s="3"/>
      <c r="V16" s="3"/>
      <c r="W16" s="3"/>
      <c r="X16" s="3"/>
      <c r="Y16" s="3"/>
      <c r="Z16" s="3"/>
      <c r="AA16" s="3"/>
      <c r="AB16" s="3"/>
    </row>
    <row r="17" spans="1:28" ht="15.5" x14ac:dyDescent="0.35">
      <c r="B17" s="130" t="s">
        <v>1</v>
      </c>
      <c r="C17" s="131"/>
      <c r="D17" s="132"/>
      <c r="E17" s="3"/>
      <c r="F17" s="3"/>
      <c r="G17" s="3"/>
      <c r="H17" s="3"/>
      <c r="I17" s="3"/>
      <c r="J17" s="3"/>
      <c r="K17" s="3"/>
      <c r="L17" s="3"/>
      <c r="M17" s="3"/>
      <c r="N17" s="3"/>
      <c r="O17" s="3"/>
      <c r="P17" s="3"/>
      <c r="Q17" s="3"/>
      <c r="R17" s="3"/>
      <c r="S17" s="3"/>
      <c r="T17" s="3"/>
      <c r="U17" s="3"/>
      <c r="V17" s="3"/>
      <c r="W17" s="3"/>
      <c r="X17" s="3"/>
      <c r="Y17" s="3"/>
      <c r="Z17" s="3"/>
      <c r="AA17" s="3"/>
      <c r="AB17" s="3"/>
    </row>
    <row r="18" spans="1:28" ht="24" customHeight="1" x14ac:dyDescent="0.35">
      <c r="B18" s="133" t="s">
        <v>2</v>
      </c>
      <c r="C18" s="134"/>
      <c r="D18" s="121" t="s">
        <v>106</v>
      </c>
      <c r="E18" s="3"/>
      <c r="F18" s="3"/>
      <c r="G18" s="3"/>
      <c r="H18" s="3"/>
      <c r="I18" s="3"/>
      <c r="J18" s="3"/>
      <c r="K18" s="3"/>
      <c r="L18" s="3"/>
      <c r="M18" s="3"/>
      <c r="N18" s="3"/>
      <c r="O18" s="3"/>
      <c r="P18" s="3"/>
      <c r="Q18" s="3"/>
      <c r="R18" s="3"/>
      <c r="S18" s="3"/>
      <c r="T18" s="3"/>
      <c r="U18" s="3"/>
      <c r="V18" s="3"/>
      <c r="W18" s="3"/>
      <c r="X18" s="3"/>
      <c r="Y18" s="3"/>
      <c r="Z18" s="3"/>
      <c r="AA18" s="3"/>
      <c r="AB18" s="3"/>
    </row>
    <row r="19" spans="1:28" ht="24" customHeight="1" x14ac:dyDescent="0.35">
      <c r="B19" s="133" t="s">
        <v>3</v>
      </c>
      <c r="C19" s="134"/>
      <c r="D19" s="122">
        <v>100</v>
      </c>
      <c r="E19" s="3"/>
      <c r="F19" s="3"/>
      <c r="G19" s="3"/>
      <c r="H19" s="3"/>
      <c r="I19" s="3"/>
      <c r="J19" s="3"/>
      <c r="K19" s="3"/>
      <c r="L19" s="3"/>
      <c r="M19" s="3"/>
      <c r="N19" s="3"/>
      <c r="O19" s="3"/>
      <c r="P19" s="3"/>
      <c r="Q19" s="3"/>
      <c r="R19" s="3"/>
      <c r="S19" s="3"/>
      <c r="T19" s="3"/>
      <c r="U19" s="3"/>
      <c r="V19" s="3"/>
      <c r="W19" s="3"/>
      <c r="X19" s="3"/>
      <c r="Y19" s="3"/>
      <c r="Z19" s="3"/>
      <c r="AA19" s="3"/>
      <c r="AB19" s="3"/>
    </row>
    <row r="20" spans="1:28" ht="24" customHeight="1" x14ac:dyDescent="0.35">
      <c r="B20" s="133" t="s">
        <v>4</v>
      </c>
      <c r="C20" s="134"/>
      <c r="D20" s="123">
        <v>7.2499999999999995E-2</v>
      </c>
      <c r="E20" s="3"/>
      <c r="F20" s="3"/>
      <c r="G20" s="3"/>
      <c r="H20" s="3"/>
      <c r="I20" s="3"/>
      <c r="J20" s="3"/>
      <c r="K20" s="3"/>
      <c r="L20" s="3"/>
      <c r="M20" s="3"/>
      <c r="N20" s="3"/>
      <c r="O20" s="3"/>
      <c r="P20" s="3"/>
      <c r="Q20" s="3"/>
      <c r="R20" s="3"/>
      <c r="S20" s="3"/>
      <c r="T20" s="3"/>
      <c r="U20" s="3"/>
      <c r="V20" s="3"/>
      <c r="W20" s="3"/>
      <c r="X20" s="3"/>
      <c r="Y20" s="3"/>
      <c r="Z20" s="3"/>
      <c r="AA20" s="3"/>
      <c r="AB20" s="3"/>
    </row>
    <row r="21" spans="1:28" ht="24" customHeight="1" x14ac:dyDescent="0.35">
      <c r="B21" s="133" t="s">
        <v>5</v>
      </c>
      <c r="C21" s="134"/>
      <c r="D21" s="121"/>
      <c r="E21" s="3"/>
      <c r="F21" s="3"/>
      <c r="G21" s="3"/>
      <c r="H21" s="3"/>
      <c r="I21" s="3"/>
      <c r="J21" s="3"/>
      <c r="K21" s="3"/>
      <c r="L21" s="3"/>
      <c r="M21" s="3"/>
      <c r="N21" s="3"/>
      <c r="O21" s="3"/>
      <c r="P21" s="3"/>
      <c r="Q21" s="3"/>
      <c r="R21" s="3"/>
      <c r="S21" s="3"/>
      <c r="T21" s="3"/>
      <c r="U21" s="3"/>
      <c r="V21" s="3"/>
      <c r="W21" s="3"/>
      <c r="X21" s="3"/>
      <c r="Y21" s="3"/>
      <c r="Z21" s="3"/>
      <c r="AA21" s="3"/>
      <c r="AB21" s="3"/>
    </row>
    <row r="22" spans="1:28" ht="24" customHeight="1" x14ac:dyDescent="0.35">
      <c r="B22" s="135" t="s">
        <v>6</v>
      </c>
      <c r="C22" s="134"/>
      <c r="D22" s="124"/>
      <c r="E22" s="3"/>
      <c r="F22" s="3"/>
      <c r="G22" s="3"/>
      <c r="H22" s="3"/>
      <c r="I22" s="3"/>
      <c r="J22" s="3"/>
      <c r="K22" s="3"/>
      <c r="L22" s="3"/>
      <c r="M22" s="3"/>
      <c r="N22" s="3"/>
      <c r="O22" s="3"/>
      <c r="P22" s="3"/>
      <c r="Q22" s="3"/>
      <c r="R22" s="3"/>
      <c r="S22" s="3"/>
      <c r="T22" s="3"/>
      <c r="U22" s="3"/>
      <c r="V22" s="3"/>
      <c r="W22" s="3"/>
      <c r="X22" s="3"/>
      <c r="Y22" s="3"/>
      <c r="Z22" s="3"/>
      <c r="AA22" s="3"/>
      <c r="AB22" s="3"/>
    </row>
    <row r="23" spans="1:28" ht="24" customHeight="1" thickBot="1" x14ac:dyDescent="0.4">
      <c r="B23" s="128" t="s">
        <v>7</v>
      </c>
      <c r="C23" s="129"/>
      <c r="D23" s="125">
        <v>2027</v>
      </c>
      <c r="E23" s="3"/>
      <c r="F23" s="3"/>
      <c r="G23" s="3"/>
      <c r="H23" s="3"/>
      <c r="I23" s="3"/>
      <c r="J23" s="3"/>
      <c r="K23" s="3"/>
      <c r="L23" s="3"/>
      <c r="M23" s="3"/>
      <c r="N23" s="3"/>
      <c r="O23" s="3"/>
      <c r="P23" s="3"/>
      <c r="Q23" s="3"/>
      <c r="R23" s="3"/>
      <c r="S23" s="3"/>
      <c r="T23" s="3"/>
      <c r="U23" s="3"/>
      <c r="V23" s="3"/>
      <c r="W23" s="3"/>
      <c r="X23" s="3"/>
      <c r="Y23" s="3"/>
      <c r="Z23" s="3"/>
      <c r="AA23" s="3"/>
      <c r="AB23" s="3"/>
    </row>
    <row r="24" spans="1:28" ht="14.25" customHeight="1" x14ac:dyDescent="0.35">
      <c r="E24" s="3"/>
      <c r="F24" s="3"/>
      <c r="G24" s="3"/>
      <c r="H24" s="3"/>
      <c r="I24" s="3"/>
      <c r="J24" s="3"/>
      <c r="K24" s="3"/>
      <c r="L24" s="3"/>
      <c r="M24" s="3"/>
      <c r="N24" s="3"/>
      <c r="O24" s="3"/>
      <c r="P24" s="3"/>
      <c r="Q24" s="3"/>
      <c r="R24" s="3"/>
      <c r="S24" s="3"/>
      <c r="T24" s="3"/>
      <c r="U24" s="3"/>
      <c r="V24" s="3"/>
      <c r="W24" s="3"/>
      <c r="X24" s="3"/>
      <c r="Y24" s="3"/>
      <c r="Z24" s="3"/>
      <c r="AA24" s="3"/>
      <c r="AB24" s="3"/>
    </row>
    <row r="25" spans="1:28" ht="24" thickBot="1" x14ac:dyDescent="0.6">
      <c r="B25" s="4" t="s">
        <v>8</v>
      </c>
      <c r="C25" s="5"/>
      <c r="D25" s="5"/>
      <c r="E25" s="5"/>
      <c r="F25" s="5"/>
      <c r="G25" s="5"/>
      <c r="H25" s="5"/>
      <c r="I25" s="5"/>
      <c r="J25" s="5"/>
      <c r="K25" s="5"/>
      <c r="L25" s="5"/>
      <c r="M25" s="5"/>
      <c r="N25" s="5"/>
      <c r="O25" s="5"/>
      <c r="P25" s="5"/>
      <c r="Q25" s="5"/>
      <c r="R25" s="5"/>
      <c r="S25" s="5"/>
      <c r="T25" s="5"/>
      <c r="U25" s="5"/>
      <c r="V25" s="5"/>
      <c r="W25" s="5"/>
      <c r="X25" s="5"/>
      <c r="Y25" s="5"/>
      <c r="Z25" s="5"/>
    </row>
    <row r="26" spans="1:28" s="18" customFormat="1" ht="16" thickBot="1" x14ac:dyDescent="0.4">
      <c r="A26" s="1"/>
      <c r="F26" s="19"/>
      <c r="G26" s="20"/>
    </row>
    <row r="27" spans="1:28" s="18" customFormat="1" ht="15.5" x14ac:dyDescent="0.35">
      <c r="A27" s="1"/>
      <c r="B27" s="48"/>
      <c r="C27" s="49"/>
      <c r="D27" s="49"/>
      <c r="E27" s="49"/>
      <c r="F27" s="189">
        <f>D23</f>
        <v>2027</v>
      </c>
      <c r="G27" s="190"/>
      <c r="H27" s="191"/>
      <c r="I27" s="51" t="s">
        <v>10</v>
      </c>
      <c r="J27" s="51" t="s">
        <v>11</v>
      </c>
      <c r="K27" s="51" t="s">
        <v>12</v>
      </c>
      <c r="L27" s="51" t="s">
        <v>13</v>
      </c>
      <c r="M27" s="51" t="s">
        <v>14</v>
      </c>
      <c r="N27" s="51" t="s">
        <v>15</v>
      </c>
      <c r="O27" s="51" t="s">
        <v>16</v>
      </c>
      <c r="P27" s="51" t="s">
        <v>17</v>
      </c>
      <c r="Q27" s="51" t="s">
        <v>18</v>
      </c>
      <c r="R27" s="51" t="s">
        <v>19</v>
      </c>
      <c r="S27" s="51" t="s">
        <v>20</v>
      </c>
      <c r="T27" s="52" t="s">
        <v>21</v>
      </c>
    </row>
    <row r="28" spans="1:28" s="18" customFormat="1" ht="15.5" x14ac:dyDescent="0.35">
      <c r="A28" s="1"/>
      <c r="B28" s="53" t="s">
        <v>22</v>
      </c>
      <c r="C28" s="54"/>
      <c r="D28" s="54"/>
      <c r="E28" s="54"/>
      <c r="F28" s="197">
        <f>SUM(I28:T28)</f>
        <v>1200000</v>
      </c>
      <c r="G28" s="198"/>
      <c r="H28" s="199"/>
      <c r="I28" s="67">
        <v>100000</v>
      </c>
      <c r="J28" s="67">
        <v>100000</v>
      </c>
      <c r="K28" s="67">
        <v>100000</v>
      </c>
      <c r="L28" s="67">
        <v>100000</v>
      </c>
      <c r="M28" s="67">
        <v>100000</v>
      </c>
      <c r="N28" s="67">
        <v>100000</v>
      </c>
      <c r="O28" s="67">
        <v>100000</v>
      </c>
      <c r="P28" s="67">
        <v>100000</v>
      </c>
      <c r="Q28" s="67">
        <v>100000</v>
      </c>
      <c r="R28" s="67">
        <v>100000</v>
      </c>
      <c r="S28" s="67">
        <v>100000</v>
      </c>
      <c r="T28" s="68">
        <v>100000</v>
      </c>
    </row>
    <row r="29" spans="1:28" s="18" customFormat="1" ht="15.5" x14ac:dyDescent="0.35">
      <c r="A29" s="1"/>
      <c r="B29" s="53" t="s">
        <v>23</v>
      </c>
      <c r="C29" s="54"/>
      <c r="D29" s="54"/>
      <c r="E29" s="54"/>
      <c r="F29" s="194">
        <v>0.04</v>
      </c>
      <c r="G29" s="195"/>
      <c r="H29" s="196"/>
      <c r="I29" s="17">
        <f t="shared" ref="I29:T29" si="0">$F$29</f>
        <v>0.04</v>
      </c>
      <c r="J29" s="17">
        <f t="shared" si="0"/>
        <v>0.04</v>
      </c>
      <c r="K29" s="17">
        <f t="shared" si="0"/>
        <v>0.04</v>
      </c>
      <c r="L29" s="17">
        <f t="shared" si="0"/>
        <v>0.04</v>
      </c>
      <c r="M29" s="17">
        <f t="shared" si="0"/>
        <v>0.04</v>
      </c>
      <c r="N29" s="17">
        <f t="shared" si="0"/>
        <v>0.04</v>
      </c>
      <c r="O29" s="17">
        <f t="shared" si="0"/>
        <v>0.04</v>
      </c>
      <c r="P29" s="17">
        <f t="shared" si="0"/>
        <v>0.04</v>
      </c>
      <c r="Q29" s="17">
        <f t="shared" si="0"/>
        <v>0.04</v>
      </c>
      <c r="R29" s="17">
        <f t="shared" si="0"/>
        <v>0.04</v>
      </c>
      <c r="S29" s="17">
        <f t="shared" si="0"/>
        <v>0.04</v>
      </c>
      <c r="T29" s="55">
        <f t="shared" si="0"/>
        <v>0.04</v>
      </c>
    </row>
    <row r="30" spans="1:28" s="18" customFormat="1" ht="15.5" x14ac:dyDescent="0.35">
      <c r="A30" s="1"/>
      <c r="B30" s="53" t="s">
        <v>24</v>
      </c>
      <c r="C30" s="54"/>
      <c r="D30" s="54"/>
      <c r="E30" s="54"/>
      <c r="F30" s="197">
        <f>F28*F29</f>
        <v>48000</v>
      </c>
      <c r="G30" s="198"/>
      <c r="H30" s="199"/>
      <c r="I30" s="66">
        <f t="shared" ref="I30:T30" si="1">I28*I29</f>
        <v>4000</v>
      </c>
      <c r="J30" s="66">
        <f t="shared" si="1"/>
        <v>4000</v>
      </c>
      <c r="K30" s="66">
        <f t="shared" si="1"/>
        <v>4000</v>
      </c>
      <c r="L30" s="66">
        <f t="shared" si="1"/>
        <v>4000</v>
      </c>
      <c r="M30" s="66">
        <f t="shared" si="1"/>
        <v>4000</v>
      </c>
      <c r="N30" s="66">
        <f t="shared" si="1"/>
        <v>4000</v>
      </c>
      <c r="O30" s="66">
        <f t="shared" si="1"/>
        <v>4000</v>
      </c>
      <c r="P30" s="66">
        <f t="shared" si="1"/>
        <v>4000</v>
      </c>
      <c r="Q30" s="66">
        <f t="shared" si="1"/>
        <v>4000</v>
      </c>
      <c r="R30" s="66">
        <f t="shared" si="1"/>
        <v>4000</v>
      </c>
      <c r="S30" s="66">
        <f t="shared" si="1"/>
        <v>4000</v>
      </c>
      <c r="T30" s="71">
        <f t="shared" si="1"/>
        <v>4000</v>
      </c>
    </row>
    <row r="31" spans="1:28" s="18" customFormat="1" ht="15.5" x14ac:dyDescent="0.35">
      <c r="A31" s="1"/>
      <c r="B31" s="53" t="s">
        <v>120</v>
      </c>
      <c r="C31" s="54"/>
      <c r="D31" s="54"/>
      <c r="E31" s="54"/>
      <c r="F31" s="197">
        <f>SUM(I31:T31)</f>
        <v>35125.640549999996</v>
      </c>
      <c r="G31" s="198"/>
      <c r="H31" s="199"/>
      <c r="I31" s="66">
        <f>N121</f>
        <v>35125.640549999996</v>
      </c>
      <c r="J31" s="66">
        <f t="shared" ref="J31:T31" si="2">O121</f>
        <v>0</v>
      </c>
      <c r="K31" s="66">
        <f t="shared" si="2"/>
        <v>0</v>
      </c>
      <c r="L31" s="66">
        <f t="shared" si="2"/>
        <v>0</v>
      </c>
      <c r="M31" s="66">
        <f t="shared" si="2"/>
        <v>0</v>
      </c>
      <c r="N31" s="66">
        <f t="shared" si="2"/>
        <v>0</v>
      </c>
      <c r="O31" s="66">
        <f t="shared" si="2"/>
        <v>0</v>
      </c>
      <c r="P31" s="66">
        <f t="shared" si="2"/>
        <v>0</v>
      </c>
      <c r="Q31" s="66">
        <f t="shared" si="2"/>
        <v>0</v>
      </c>
      <c r="R31" s="66">
        <f t="shared" si="2"/>
        <v>0</v>
      </c>
      <c r="S31" s="66">
        <f t="shared" si="2"/>
        <v>0</v>
      </c>
      <c r="T31" s="71">
        <f t="shared" si="2"/>
        <v>0</v>
      </c>
    </row>
    <row r="32" spans="1:28" s="18" customFormat="1" ht="16" thickBot="1" x14ac:dyDescent="0.4">
      <c r="A32" s="1"/>
      <c r="B32" s="56" t="s">
        <v>119</v>
      </c>
      <c r="C32" s="57"/>
      <c r="D32" s="57"/>
      <c r="E32" s="57"/>
      <c r="F32" s="200">
        <f>F31/F28</f>
        <v>2.9271367124999996E-2</v>
      </c>
      <c r="G32" s="201"/>
      <c r="H32" s="202"/>
      <c r="I32" s="64">
        <f>I31/I28</f>
        <v>0.35125640549999998</v>
      </c>
      <c r="J32" s="64">
        <f t="shared" ref="J32:T32" si="3">J31/J28</f>
        <v>0</v>
      </c>
      <c r="K32" s="64">
        <f t="shared" si="3"/>
        <v>0</v>
      </c>
      <c r="L32" s="64">
        <f t="shared" si="3"/>
        <v>0</v>
      </c>
      <c r="M32" s="64">
        <f t="shared" si="3"/>
        <v>0</v>
      </c>
      <c r="N32" s="64">
        <f t="shared" si="3"/>
        <v>0</v>
      </c>
      <c r="O32" s="64">
        <f t="shared" si="3"/>
        <v>0</v>
      </c>
      <c r="P32" s="64">
        <f t="shared" si="3"/>
        <v>0</v>
      </c>
      <c r="Q32" s="64">
        <f t="shared" si="3"/>
        <v>0</v>
      </c>
      <c r="R32" s="64">
        <f t="shared" si="3"/>
        <v>0</v>
      </c>
      <c r="S32" s="64">
        <f t="shared" si="3"/>
        <v>0</v>
      </c>
      <c r="T32" s="72">
        <f t="shared" si="3"/>
        <v>0</v>
      </c>
    </row>
    <row r="33" spans="1:26" s="18" customFormat="1" ht="12.75" customHeight="1" x14ac:dyDescent="0.35">
      <c r="A33" s="1"/>
      <c r="F33" s="19"/>
      <c r="G33" s="20"/>
    </row>
    <row r="34" spans="1:26" s="18" customFormat="1" ht="19" thickBot="1" x14ac:dyDescent="0.5">
      <c r="A34" s="1"/>
      <c r="B34" s="29" t="str">
        <f>D23&amp;" "&amp;  D18 &amp; " " &amp; "Capital Plan"</f>
        <v>2027 Hotel Capital Plan</v>
      </c>
      <c r="C34" s="21"/>
      <c r="D34" s="21"/>
      <c r="E34" s="21"/>
      <c r="F34" s="22"/>
      <c r="G34" s="23"/>
      <c r="H34" s="21"/>
      <c r="I34" s="21"/>
      <c r="J34" s="21"/>
      <c r="K34" s="21"/>
      <c r="L34" s="21"/>
      <c r="M34" s="21"/>
      <c r="N34" s="21"/>
      <c r="O34" s="21"/>
      <c r="P34" s="21"/>
      <c r="Q34" s="21"/>
      <c r="R34" s="21"/>
      <c r="S34" s="21"/>
      <c r="T34" s="21"/>
      <c r="U34" s="21"/>
      <c r="V34" s="21"/>
      <c r="W34" s="21"/>
      <c r="X34" s="21"/>
      <c r="Y34" s="21"/>
    </row>
    <row r="35" spans="1:26" s="18" customFormat="1" ht="14.25" customHeight="1" thickBot="1" x14ac:dyDescent="0.4">
      <c r="A35" s="1"/>
      <c r="F35" s="19"/>
      <c r="G35" s="20"/>
    </row>
    <row r="36" spans="1:26" s="18" customFormat="1" ht="42" customHeight="1" x14ac:dyDescent="0.35">
      <c r="A36" s="1"/>
      <c r="B36" s="139" t="s">
        <v>25</v>
      </c>
      <c r="C36" s="192"/>
      <c r="D36" s="91" t="s">
        <v>26</v>
      </c>
      <c r="E36" s="92" t="s">
        <v>112</v>
      </c>
      <c r="F36" s="93" t="s">
        <v>27</v>
      </c>
      <c r="G36" s="94" t="s">
        <v>28</v>
      </c>
      <c r="H36" s="94" t="s">
        <v>29</v>
      </c>
      <c r="I36" s="94" t="s">
        <v>30</v>
      </c>
      <c r="J36" s="94" t="s">
        <v>31</v>
      </c>
      <c r="K36" s="94" t="s">
        <v>32</v>
      </c>
      <c r="L36" s="94" t="s">
        <v>33</v>
      </c>
      <c r="M36" s="94" t="s">
        <v>34</v>
      </c>
      <c r="N36" s="94" t="s">
        <v>10</v>
      </c>
      <c r="O36" s="94" t="s">
        <v>11</v>
      </c>
      <c r="P36" s="94" t="s">
        <v>12</v>
      </c>
      <c r="Q36" s="94" t="s">
        <v>13</v>
      </c>
      <c r="R36" s="94" t="s">
        <v>14</v>
      </c>
      <c r="S36" s="94" t="s">
        <v>15</v>
      </c>
      <c r="T36" s="94" t="s">
        <v>16</v>
      </c>
      <c r="U36" s="94" t="s">
        <v>17</v>
      </c>
      <c r="V36" s="94" t="s">
        <v>18</v>
      </c>
      <c r="W36" s="94" t="s">
        <v>19</v>
      </c>
      <c r="X36" s="94" t="s">
        <v>20</v>
      </c>
      <c r="Y36" s="95" t="s">
        <v>21</v>
      </c>
      <c r="Z36" s="24"/>
    </row>
    <row r="37" spans="1:26" s="18" customFormat="1" ht="15.5" x14ac:dyDescent="0.35">
      <c r="A37" s="1"/>
      <c r="B37" s="193" t="s">
        <v>35</v>
      </c>
      <c r="C37" s="137"/>
      <c r="D37" s="138"/>
      <c r="E37" s="6"/>
      <c r="F37" s="7"/>
      <c r="G37" s="8"/>
      <c r="H37" s="8">
        <f t="shared" ref="H37:Y37" si="4">SUM(H38:H49)</f>
        <v>1</v>
      </c>
      <c r="I37" s="8">
        <f t="shared" si="4"/>
        <v>12151</v>
      </c>
      <c r="J37" s="8">
        <f t="shared" si="4"/>
        <v>880.94749999999999</v>
      </c>
      <c r="K37" s="8">
        <f t="shared" si="4"/>
        <v>651.59737500000006</v>
      </c>
      <c r="L37" s="8">
        <f t="shared" si="4"/>
        <v>13683.544875</v>
      </c>
      <c r="M37" s="8">
        <f t="shared" si="4"/>
        <v>13683.544875</v>
      </c>
      <c r="N37" s="8">
        <f t="shared" si="4"/>
        <v>13683.544875</v>
      </c>
      <c r="O37" s="8">
        <f t="shared" si="4"/>
        <v>0</v>
      </c>
      <c r="P37" s="8">
        <f t="shared" si="4"/>
        <v>0</v>
      </c>
      <c r="Q37" s="8">
        <f t="shared" si="4"/>
        <v>0</v>
      </c>
      <c r="R37" s="8">
        <f t="shared" si="4"/>
        <v>0</v>
      </c>
      <c r="S37" s="8">
        <f t="shared" si="4"/>
        <v>0</v>
      </c>
      <c r="T37" s="8">
        <f t="shared" si="4"/>
        <v>0</v>
      </c>
      <c r="U37" s="8">
        <f t="shared" si="4"/>
        <v>0</v>
      </c>
      <c r="V37" s="8">
        <f t="shared" si="4"/>
        <v>0</v>
      </c>
      <c r="W37" s="8">
        <f t="shared" si="4"/>
        <v>0</v>
      </c>
      <c r="X37" s="8">
        <f t="shared" si="4"/>
        <v>0</v>
      </c>
      <c r="Y37" s="96">
        <f t="shared" si="4"/>
        <v>0</v>
      </c>
    </row>
    <row r="38" spans="1:26" s="18" customFormat="1" ht="14.25" customHeight="1" x14ac:dyDescent="0.35">
      <c r="A38" s="1"/>
      <c r="B38" s="97" t="s">
        <v>36</v>
      </c>
      <c r="C38" s="9" t="s">
        <v>101</v>
      </c>
      <c r="D38" s="9" t="s">
        <v>102</v>
      </c>
      <c r="E38" s="9" t="s">
        <v>108</v>
      </c>
      <c r="F38" s="10">
        <v>18</v>
      </c>
      <c r="G38" s="11">
        <v>675</v>
      </c>
      <c r="H38" s="11">
        <v>1</v>
      </c>
      <c r="I38" s="12">
        <f t="shared" ref="I38:I49" si="5">(F38*G38)+H38</f>
        <v>12151</v>
      </c>
      <c r="J38" s="12">
        <f t="shared" ref="J38:J49" si="6">I38*$D$20</f>
        <v>880.94749999999999</v>
      </c>
      <c r="K38" s="12">
        <f t="shared" ref="K38:K49" si="7">SUM(I38:J38)*5%</f>
        <v>651.59737500000006</v>
      </c>
      <c r="L38" s="12">
        <f t="shared" ref="L38:L49" si="8">SUM(I38:K38)</f>
        <v>13683.544875</v>
      </c>
      <c r="M38" s="12">
        <f t="shared" ref="M38:M49" si="9">SUM(N38, O38,P38,Q38,R38,S38,T38,U38,V38,W38,X38,Y38)</f>
        <v>13683.544875</v>
      </c>
      <c r="N38" s="59">
        <f>L38</f>
        <v>13683.544875</v>
      </c>
      <c r="O38" s="59"/>
      <c r="P38" s="59"/>
      <c r="Q38" s="59"/>
      <c r="R38" s="59"/>
      <c r="S38" s="59"/>
      <c r="T38" s="59"/>
      <c r="U38" s="59"/>
      <c r="V38" s="59"/>
      <c r="W38" s="59"/>
      <c r="X38" s="59"/>
      <c r="Y38" s="98"/>
    </row>
    <row r="39" spans="1:26" s="18" customFormat="1" ht="14.25" customHeight="1" x14ac:dyDescent="0.35">
      <c r="A39" s="1"/>
      <c r="B39" s="97" t="s">
        <v>37</v>
      </c>
      <c r="C39" s="9"/>
      <c r="D39" s="9"/>
      <c r="E39" s="9"/>
      <c r="F39" s="10"/>
      <c r="G39" s="11"/>
      <c r="H39" s="11"/>
      <c r="I39" s="12">
        <f t="shared" si="5"/>
        <v>0</v>
      </c>
      <c r="J39" s="12">
        <f t="shared" si="6"/>
        <v>0</v>
      </c>
      <c r="K39" s="12">
        <f t="shared" si="7"/>
        <v>0</v>
      </c>
      <c r="L39" s="12">
        <f t="shared" si="8"/>
        <v>0</v>
      </c>
      <c r="M39" s="12">
        <f t="shared" si="9"/>
        <v>0</v>
      </c>
      <c r="N39" s="59"/>
      <c r="O39" s="59"/>
      <c r="P39" s="59"/>
      <c r="Q39" s="59"/>
      <c r="R39" s="59"/>
      <c r="S39" s="59"/>
      <c r="T39" s="59"/>
      <c r="U39" s="59"/>
      <c r="V39" s="59"/>
      <c r="W39" s="59"/>
      <c r="X39" s="59"/>
      <c r="Y39" s="98"/>
    </row>
    <row r="40" spans="1:26" s="18" customFormat="1" ht="14.25" customHeight="1" x14ac:dyDescent="0.35">
      <c r="A40" s="1"/>
      <c r="B40" s="97" t="s">
        <v>38</v>
      </c>
      <c r="C40" s="9"/>
      <c r="D40" s="9"/>
      <c r="E40" s="9"/>
      <c r="F40" s="10"/>
      <c r="G40" s="11"/>
      <c r="H40" s="11"/>
      <c r="I40" s="12">
        <f t="shared" si="5"/>
        <v>0</v>
      </c>
      <c r="J40" s="12">
        <f t="shared" si="6"/>
        <v>0</v>
      </c>
      <c r="K40" s="12">
        <f t="shared" si="7"/>
        <v>0</v>
      </c>
      <c r="L40" s="12">
        <f t="shared" si="8"/>
        <v>0</v>
      </c>
      <c r="M40" s="12">
        <f t="shared" si="9"/>
        <v>0</v>
      </c>
      <c r="N40" s="59"/>
      <c r="O40" s="59"/>
      <c r="P40" s="59"/>
      <c r="Q40" s="59"/>
      <c r="R40" s="59"/>
      <c r="S40" s="59"/>
      <c r="T40" s="59"/>
      <c r="U40" s="59"/>
      <c r="V40" s="59"/>
      <c r="W40" s="59"/>
      <c r="X40" s="59"/>
      <c r="Y40" s="98"/>
    </row>
    <row r="41" spans="1:26" s="18" customFormat="1" ht="14.25" customHeight="1" x14ac:dyDescent="0.35">
      <c r="A41" s="1"/>
      <c r="B41" s="97" t="s">
        <v>39</v>
      </c>
      <c r="C41" s="9"/>
      <c r="D41" s="9"/>
      <c r="E41" s="9"/>
      <c r="F41" s="10"/>
      <c r="G41" s="11"/>
      <c r="H41" s="11"/>
      <c r="I41" s="12">
        <f t="shared" si="5"/>
        <v>0</v>
      </c>
      <c r="J41" s="12">
        <f t="shared" si="6"/>
        <v>0</v>
      </c>
      <c r="K41" s="12">
        <f t="shared" si="7"/>
        <v>0</v>
      </c>
      <c r="L41" s="12">
        <f t="shared" si="8"/>
        <v>0</v>
      </c>
      <c r="M41" s="12">
        <f t="shared" si="9"/>
        <v>0</v>
      </c>
      <c r="N41" s="59"/>
      <c r="O41" s="59"/>
      <c r="P41" s="59"/>
      <c r="Q41" s="59"/>
      <c r="R41" s="59"/>
      <c r="S41" s="59"/>
      <c r="T41" s="59"/>
      <c r="U41" s="59"/>
      <c r="V41" s="59"/>
      <c r="W41" s="59"/>
      <c r="X41" s="59"/>
      <c r="Y41" s="98"/>
    </row>
    <row r="42" spans="1:26" s="18" customFormat="1" ht="14.25" customHeight="1" x14ac:dyDescent="0.35">
      <c r="A42" s="1"/>
      <c r="B42" s="97" t="s">
        <v>40</v>
      </c>
      <c r="C42" s="9"/>
      <c r="D42" s="9"/>
      <c r="E42" s="9"/>
      <c r="F42" s="10"/>
      <c r="G42" s="11"/>
      <c r="H42" s="11"/>
      <c r="I42" s="12">
        <f t="shared" si="5"/>
        <v>0</v>
      </c>
      <c r="J42" s="12">
        <f t="shared" si="6"/>
        <v>0</v>
      </c>
      <c r="K42" s="12">
        <f t="shared" si="7"/>
        <v>0</v>
      </c>
      <c r="L42" s="12">
        <f t="shared" si="8"/>
        <v>0</v>
      </c>
      <c r="M42" s="12">
        <f t="shared" si="9"/>
        <v>0</v>
      </c>
      <c r="N42" s="59"/>
      <c r="O42" s="59"/>
      <c r="P42" s="59"/>
      <c r="Q42" s="59"/>
      <c r="R42" s="59"/>
      <c r="S42" s="59"/>
      <c r="T42" s="59"/>
      <c r="U42" s="59"/>
      <c r="V42" s="59"/>
      <c r="W42" s="59"/>
      <c r="X42" s="59"/>
      <c r="Y42" s="98"/>
    </row>
    <row r="43" spans="1:26" s="18" customFormat="1" ht="14.25" customHeight="1" x14ac:dyDescent="0.35">
      <c r="A43" s="1"/>
      <c r="B43" s="97" t="s">
        <v>41</v>
      </c>
      <c r="C43" s="9"/>
      <c r="D43" s="9"/>
      <c r="E43" s="9"/>
      <c r="F43" s="10"/>
      <c r="G43" s="11"/>
      <c r="H43" s="11"/>
      <c r="I43" s="12">
        <f t="shared" si="5"/>
        <v>0</v>
      </c>
      <c r="J43" s="12">
        <f t="shared" si="6"/>
        <v>0</v>
      </c>
      <c r="K43" s="12">
        <f t="shared" si="7"/>
        <v>0</v>
      </c>
      <c r="L43" s="12">
        <f t="shared" si="8"/>
        <v>0</v>
      </c>
      <c r="M43" s="12">
        <f t="shared" si="9"/>
        <v>0</v>
      </c>
      <c r="N43" s="59"/>
      <c r="O43" s="59"/>
      <c r="P43" s="59"/>
      <c r="Q43" s="59"/>
      <c r="R43" s="59"/>
      <c r="S43" s="59"/>
      <c r="T43" s="59"/>
      <c r="U43" s="59"/>
      <c r="V43" s="59"/>
      <c r="W43" s="59"/>
      <c r="X43" s="59"/>
      <c r="Y43" s="98"/>
    </row>
    <row r="44" spans="1:26" s="18" customFormat="1" ht="14.25" customHeight="1" x14ac:dyDescent="0.35">
      <c r="A44" s="1"/>
      <c r="B44" s="97" t="s">
        <v>42</v>
      </c>
      <c r="C44" s="9"/>
      <c r="D44" s="9"/>
      <c r="E44" s="9"/>
      <c r="F44" s="10"/>
      <c r="G44" s="11"/>
      <c r="H44" s="11"/>
      <c r="I44" s="12">
        <f t="shared" ref="I44:I45" si="10">(F44*G44)+H44</f>
        <v>0</v>
      </c>
      <c r="J44" s="12">
        <f t="shared" ref="J44:J45" si="11">I44*$D$20</f>
        <v>0</v>
      </c>
      <c r="K44" s="12">
        <f t="shared" ref="K44:K45" si="12">SUM(I44:J44)*5%</f>
        <v>0</v>
      </c>
      <c r="L44" s="12">
        <f t="shared" ref="L44:L45" si="13">SUM(I44:K44)</f>
        <v>0</v>
      </c>
      <c r="M44" s="12">
        <f t="shared" ref="M44:M45" si="14">SUM(N44, O44,P44,Q44,R44,S44,T44,U44,V44,W44,X44,Y44)</f>
        <v>0</v>
      </c>
      <c r="N44" s="59"/>
      <c r="O44" s="59"/>
      <c r="P44" s="59"/>
      <c r="Q44" s="59"/>
      <c r="R44" s="59"/>
      <c r="S44" s="59"/>
      <c r="T44" s="59"/>
      <c r="U44" s="59"/>
      <c r="V44" s="59"/>
      <c r="W44" s="59"/>
      <c r="X44" s="59"/>
      <c r="Y44" s="98"/>
    </row>
    <row r="45" spans="1:26" s="18" customFormat="1" ht="14.25" customHeight="1" x14ac:dyDescent="0.35">
      <c r="A45" s="1"/>
      <c r="B45" s="97" t="s">
        <v>43</v>
      </c>
      <c r="C45" s="9"/>
      <c r="D45" s="9"/>
      <c r="E45" s="9"/>
      <c r="F45" s="10"/>
      <c r="G45" s="11"/>
      <c r="H45" s="11"/>
      <c r="I45" s="12">
        <f t="shared" si="10"/>
        <v>0</v>
      </c>
      <c r="J45" s="12">
        <f t="shared" si="11"/>
        <v>0</v>
      </c>
      <c r="K45" s="12">
        <f t="shared" si="12"/>
        <v>0</v>
      </c>
      <c r="L45" s="12">
        <f t="shared" si="13"/>
        <v>0</v>
      </c>
      <c r="M45" s="12">
        <f t="shared" si="14"/>
        <v>0</v>
      </c>
      <c r="N45" s="59"/>
      <c r="O45" s="59"/>
      <c r="P45" s="59"/>
      <c r="Q45" s="59"/>
      <c r="R45" s="59"/>
      <c r="S45" s="59"/>
      <c r="T45" s="59"/>
      <c r="U45" s="59"/>
      <c r="V45" s="59"/>
      <c r="W45" s="59"/>
      <c r="X45" s="59"/>
      <c r="Y45" s="98"/>
    </row>
    <row r="46" spans="1:26" s="18" customFormat="1" ht="14.25" customHeight="1" x14ac:dyDescent="0.35">
      <c r="A46" s="1"/>
      <c r="B46" s="97" t="s">
        <v>44</v>
      </c>
      <c r="C46" s="9"/>
      <c r="D46" s="9"/>
      <c r="E46" s="9"/>
      <c r="F46" s="10"/>
      <c r="G46" s="11"/>
      <c r="H46" s="11"/>
      <c r="I46" s="12">
        <f t="shared" si="5"/>
        <v>0</v>
      </c>
      <c r="J46" s="12">
        <f t="shared" si="6"/>
        <v>0</v>
      </c>
      <c r="K46" s="12">
        <f t="shared" si="7"/>
        <v>0</v>
      </c>
      <c r="L46" s="12">
        <f t="shared" si="8"/>
        <v>0</v>
      </c>
      <c r="M46" s="12">
        <f t="shared" si="9"/>
        <v>0</v>
      </c>
      <c r="N46" s="59"/>
      <c r="O46" s="59"/>
      <c r="P46" s="59"/>
      <c r="Q46" s="59"/>
      <c r="R46" s="59"/>
      <c r="S46" s="59"/>
      <c r="T46" s="59"/>
      <c r="U46" s="59"/>
      <c r="V46" s="59"/>
      <c r="W46" s="59"/>
      <c r="X46" s="59"/>
      <c r="Y46" s="98"/>
    </row>
    <row r="47" spans="1:26" s="18" customFormat="1" ht="14.25" customHeight="1" x14ac:dyDescent="0.35">
      <c r="A47" s="1"/>
      <c r="B47" s="97" t="s">
        <v>45</v>
      </c>
      <c r="C47" s="9"/>
      <c r="D47" s="9"/>
      <c r="E47" s="9"/>
      <c r="F47" s="10"/>
      <c r="G47" s="11"/>
      <c r="H47" s="11"/>
      <c r="I47" s="12">
        <f t="shared" si="5"/>
        <v>0</v>
      </c>
      <c r="J47" s="12">
        <f t="shared" si="6"/>
        <v>0</v>
      </c>
      <c r="K47" s="12">
        <f t="shared" si="7"/>
        <v>0</v>
      </c>
      <c r="L47" s="12">
        <f t="shared" si="8"/>
        <v>0</v>
      </c>
      <c r="M47" s="12">
        <f t="shared" si="9"/>
        <v>0</v>
      </c>
      <c r="N47" s="59"/>
      <c r="O47" s="59"/>
      <c r="P47" s="59"/>
      <c r="Q47" s="59"/>
      <c r="R47" s="59"/>
      <c r="S47" s="59"/>
      <c r="T47" s="59"/>
      <c r="U47" s="59"/>
      <c r="V47" s="59"/>
      <c r="W47" s="59"/>
      <c r="X47" s="59"/>
      <c r="Y47" s="98"/>
    </row>
    <row r="48" spans="1:26" s="18" customFormat="1" ht="14.25" customHeight="1" x14ac:dyDescent="0.35">
      <c r="A48" s="1"/>
      <c r="B48" s="97" t="s">
        <v>122</v>
      </c>
      <c r="C48" s="9"/>
      <c r="D48" s="9"/>
      <c r="E48" s="9"/>
      <c r="F48" s="10"/>
      <c r="G48" s="11"/>
      <c r="H48" s="11"/>
      <c r="I48" s="12">
        <f t="shared" si="5"/>
        <v>0</v>
      </c>
      <c r="J48" s="12">
        <f t="shared" si="6"/>
        <v>0</v>
      </c>
      <c r="K48" s="12">
        <f t="shared" si="7"/>
        <v>0</v>
      </c>
      <c r="L48" s="12">
        <f t="shared" si="8"/>
        <v>0</v>
      </c>
      <c r="M48" s="12">
        <f t="shared" si="9"/>
        <v>0</v>
      </c>
      <c r="N48" s="59"/>
      <c r="O48" s="59"/>
      <c r="P48" s="59"/>
      <c r="Q48" s="59"/>
      <c r="R48" s="59"/>
      <c r="S48" s="59"/>
      <c r="T48" s="59"/>
      <c r="U48" s="59"/>
      <c r="V48" s="59"/>
      <c r="W48" s="59"/>
      <c r="X48" s="59"/>
      <c r="Y48" s="98"/>
    </row>
    <row r="49" spans="1:25" s="18" customFormat="1" ht="14.25" customHeight="1" x14ac:dyDescent="0.35">
      <c r="A49" s="1"/>
      <c r="B49" s="97" t="s">
        <v>123</v>
      </c>
      <c r="C49" s="9"/>
      <c r="D49" s="9"/>
      <c r="E49" s="9"/>
      <c r="F49" s="10"/>
      <c r="G49" s="11"/>
      <c r="H49" s="11"/>
      <c r="I49" s="12">
        <f t="shared" si="5"/>
        <v>0</v>
      </c>
      <c r="J49" s="12">
        <f t="shared" si="6"/>
        <v>0</v>
      </c>
      <c r="K49" s="12">
        <f t="shared" si="7"/>
        <v>0</v>
      </c>
      <c r="L49" s="12">
        <f t="shared" si="8"/>
        <v>0</v>
      </c>
      <c r="M49" s="12">
        <f t="shared" si="9"/>
        <v>0</v>
      </c>
      <c r="N49" s="59"/>
      <c r="O49" s="59"/>
      <c r="P49" s="59"/>
      <c r="Q49" s="59"/>
      <c r="R49" s="59"/>
      <c r="S49" s="59"/>
      <c r="T49" s="59"/>
      <c r="U49" s="59"/>
      <c r="V49" s="59"/>
      <c r="W49" s="59"/>
      <c r="X49" s="59"/>
      <c r="Y49" s="98"/>
    </row>
    <row r="50" spans="1:25" s="18" customFormat="1" ht="15.5" x14ac:dyDescent="0.35">
      <c r="A50" s="1"/>
      <c r="B50" s="193" t="s">
        <v>46</v>
      </c>
      <c r="C50" s="137"/>
      <c r="D50" s="138"/>
      <c r="E50" s="6"/>
      <c r="F50" s="7"/>
      <c r="G50" s="8"/>
      <c r="H50" s="8">
        <f t="shared" ref="H50:Y50" si="15">SUM(H51:H62)</f>
        <v>1</v>
      </c>
      <c r="I50" s="8">
        <f t="shared" si="15"/>
        <v>6401</v>
      </c>
      <c r="J50" s="8">
        <f t="shared" si="15"/>
        <v>464.07249999999999</v>
      </c>
      <c r="K50" s="8">
        <f t="shared" si="15"/>
        <v>343.25362500000006</v>
      </c>
      <c r="L50" s="8">
        <f t="shared" si="15"/>
        <v>7208.3261250000005</v>
      </c>
      <c r="M50" s="8">
        <f t="shared" si="15"/>
        <v>7208.3261250000005</v>
      </c>
      <c r="N50" s="8">
        <f t="shared" si="15"/>
        <v>7208.3261250000005</v>
      </c>
      <c r="O50" s="8">
        <f t="shared" si="15"/>
        <v>0</v>
      </c>
      <c r="P50" s="8">
        <f t="shared" si="15"/>
        <v>0</v>
      </c>
      <c r="Q50" s="8">
        <f t="shared" si="15"/>
        <v>0</v>
      </c>
      <c r="R50" s="8">
        <f t="shared" si="15"/>
        <v>0</v>
      </c>
      <c r="S50" s="8">
        <f t="shared" si="15"/>
        <v>0</v>
      </c>
      <c r="T50" s="8">
        <f t="shared" si="15"/>
        <v>0</v>
      </c>
      <c r="U50" s="8">
        <f t="shared" si="15"/>
        <v>0</v>
      </c>
      <c r="V50" s="8">
        <f t="shared" si="15"/>
        <v>0</v>
      </c>
      <c r="W50" s="8">
        <f t="shared" si="15"/>
        <v>0</v>
      </c>
      <c r="X50" s="8">
        <f t="shared" si="15"/>
        <v>0</v>
      </c>
      <c r="Y50" s="96">
        <f t="shared" si="15"/>
        <v>0</v>
      </c>
    </row>
    <row r="51" spans="1:25" s="60" customFormat="1" ht="14.25" customHeight="1" x14ac:dyDescent="0.35">
      <c r="A51" s="1"/>
      <c r="B51" s="97" t="s">
        <v>47</v>
      </c>
      <c r="C51" s="9" t="s">
        <v>101</v>
      </c>
      <c r="D51" s="9" t="s">
        <v>102</v>
      </c>
      <c r="E51" s="9" t="s">
        <v>107</v>
      </c>
      <c r="F51" s="10">
        <v>4</v>
      </c>
      <c r="G51" s="11">
        <v>1600</v>
      </c>
      <c r="H51" s="11">
        <v>1</v>
      </c>
      <c r="I51" s="12">
        <f t="shared" ref="I51:I62" si="16">(F51*G51)+H51</f>
        <v>6401</v>
      </c>
      <c r="J51" s="12">
        <f t="shared" ref="J51:J62" si="17">I51*$D$20</f>
        <v>464.07249999999999</v>
      </c>
      <c r="K51" s="12">
        <f t="shared" ref="K51:K62" si="18">SUM(I51:J51)*5%</f>
        <v>343.25362500000006</v>
      </c>
      <c r="L51" s="12">
        <f t="shared" ref="L51:L62" si="19">SUM(I51:K51)</f>
        <v>7208.3261250000005</v>
      </c>
      <c r="M51" s="12">
        <f t="shared" ref="M51:M62" si="20">SUM(N51, O51,P51,Q51,R51,S51,T51,U51,V51,W51,X51,Y51)</f>
        <v>7208.3261250000005</v>
      </c>
      <c r="N51" s="59">
        <f>L51</f>
        <v>7208.3261250000005</v>
      </c>
      <c r="O51" s="59"/>
      <c r="P51" s="59"/>
      <c r="Q51" s="59"/>
      <c r="R51" s="59"/>
      <c r="S51" s="59"/>
      <c r="T51" s="59"/>
      <c r="U51" s="59"/>
      <c r="V51" s="59"/>
      <c r="W51" s="59"/>
      <c r="X51" s="59"/>
      <c r="Y51" s="98"/>
    </row>
    <row r="52" spans="1:25" s="60" customFormat="1" ht="14.25" customHeight="1" x14ac:dyDescent="0.35">
      <c r="A52" s="1"/>
      <c r="B52" s="97" t="s">
        <v>48</v>
      </c>
      <c r="C52" s="9"/>
      <c r="D52" s="9"/>
      <c r="E52" s="9"/>
      <c r="F52" s="10"/>
      <c r="G52" s="11"/>
      <c r="H52" s="11"/>
      <c r="I52" s="12">
        <f t="shared" si="16"/>
        <v>0</v>
      </c>
      <c r="J52" s="12">
        <f t="shared" si="17"/>
        <v>0</v>
      </c>
      <c r="K52" s="12">
        <f t="shared" si="18"/>
        <v>0</v>
      </c>
      <c r="L52" s="12">
        <f t="shared" si="19"/>
        <v>0</v>
      </c>
      <c r="M52" s="12">
        <f t="shared" si="20"/>
        <v>0</v>
      </c>
      <c r="N52" s="59"/>
      <c r="O52" s="59"/>
      <c r="P52" s="59"/>
      <c r="Q52" s="59"/>
      <c r="R52" s="59"/>
      <c r="S52" s="59"/>
      <c r="T52" s="59"/>
      <c r="U52" s="59"/>
      <c r="V52" s="59"/>
      <c r="W52" s="59"/>
      <c r="X52" s="59"/>
      <c r="Y52" s="98"/>
    </row>
    <row r="53" spans="1:25" s="60" customFormat="1" ht="14.25" customHeight="1" x14ac:dyDescent="0.35">
      <c r="A53" s="1"/>
      <c r="B53" s="97" t="s">
        <v>49</v>
      </c>
      <c r="C53" s="9"/>
      <c r="D53" s="9"/>
      <c r="E53" s="9"/>
      <c r="F53" s="10"/>
      <c r="G53" s="11"/>
      <c r="H53" s="11"/>
      <c r="I53" s="12">
        <f t="shared" si="16"/>
        <v>0</v>
      </c>
      <c r="J53" s="12">
        <f t="shared" si="17"/>
        <v>0</v>
      </c>
      <c r="K53" s="12">
        <f t="shared" si="18"/>
        <v>0</v>
      </c>
      <c r="L53" s="12">
        <f t="shared" si="19"/>
        <v>0</v>
      </c>
      <c r="M53" s="12">
        <f t="shared" si="20"/>
        <v>0</v>
      </c>
      <c r="N53" s="59"/>
      <c r="O53" s="59"/>
      <c r="P53" s="59"/>
      <c r="Q53" s="59"/>
      <c r="R53" s="59"/>
      <c r="S53" s="59"/>
      <c r="T53" s="59"/>
      <c r="U53" s="59"/>
      <c r="V53" s="59"/>
      <c r="W53" s="59"/>
      <c r="X53" s="59"/>
      <c r="Y53" s="98"/>
    </row>
    <row r="54" spans="1:25" s="60" customFormat="1" ht="14.25" customHeight="1" x14ac:dyDescent="0.35">
      <c r="A54" s="1"/>
      <c r="B54" s="97" t="s">
        <v>50</v>
      </c>
      <c r="C54" s="9"/>
      <c r="D54" s="9"/>
      <c r="E54" s="9"/>
      <c r="F54" s="10"/>
      <c r="G54" s="11"/>
      <c r="H54" s="11"/>
      <c r="I54" s="12">
        <f t="shared" si="16"/>
        <v>0</v>
      </c>
      <c r="J54" s="12">
        <f t="shared" si="17"/>
        <v>0</v>
      </c>
      <c r="K54" s="12">
        <f t="shared" si="18"/>
        <v>0</v>
      </c>
      <c r="L54" s="12">
        <f t="shared" si="19"/>
        <v>0</v>
      </c>
      <c r="M54" s="12">
        <f t="shared" si="20"/>
        <v>0</v>
      </c>
      <c r="N54" s="59"/>
      <c r="O54" s="59"/>
      <c r="P54" s="59"/>
      <c r="Q54" s="59"/>
      <c r="R54" s="59"/>
      <c r="S54" s="59"/>
      <c r="T54" s="59"/>
      <c r="U54" s="59"/>
      <c r="V54" s="59"/>
      <c r="W54" s="59"/>
      <c r="X54" s="59"/>
      <c r="Y54" s="98"/>
    </row>
    <row r="55" spans="1:25" s="60" customFormat="1" ht="14.25" customHeight="1" x14ac:dyDescent="0.35">
      <c r="A55" s="1"/>
      <c r="B55" s="97" t="s">
        <v>51</v>
      </c>
      <c r="C55" s="9"/>
      <c r="D55" s="9"/>
      <c r="E55" s="9"/>
      <c r="F55" s="10"/>
      <c r="G55" s="11"/>
      <c r="H55" s="11"/>
      <c r="I55" s="12">
        <f t="shared" si="16"/>
        <v>0</v>
      </c>
      <c r="J55" s="12">
        <f t="shared" si="17"/>
        <v>0</v>
      </c>
      <c r="K55" s="12">
        <f t="shared" si="18"/>
        <v>0</v>
      </c>
      <c r="L55" s="12">
        <f t="shared" si="19"/>
        <v>0</v>
      </c>
      <c r="M55" s="12">
        <f t="shared" si="20"/>
        <v>0</v>
      </c>
      <c r="N55" s="59"/>
      <c r="O55" s="59"/>
      <c r="P55" s="59"/>
      <c r="Q55" s="59"/>
      <c r="R55" s="59"/>
      <c r="S55" s="59"/>
      <c r="T55" s="59"/>
      <c r="U55" s="59"/>
      <c r="V55" s="59"/>
      <c r="W55" s="59"/>
      <c r="X55" s="59"/>
      <c r="Y55" s="98"/>
    </row>
    <row r="56" spans="1:25" s="60" customFormat="1" ht="14.25" customHeight="1" x14ac:dyDescent="0.35">
      <c r="A56" s="1"/>
      <c r="B56" s="97" t="s">
        <v>52</v>
      </c>
      <c r="C56" s="9"/>
      <c r="D56" s="9"/>
      <c r="E56" s="9"/>
      <c r="F56" s="10"/>
      <c r="G56" s="11"/>
      <c r="H56" s="11"/>
      <c r="I56" s="12">
        <f t="shared" si="16"/>
        <v>0</v>
      </c>
      <c r="J56" s="12">
        <f t="shared" si="17"/>
        <v>0</v>
      </c>
      <c r="K56" s="12">
        <f t="shared" si="18"/>
        <v>0</v>
      </c>
      <c r="L56" s="12">
        <f t="shared" si="19"/>
        <v>0</v>
      </c>
      <c r="M56" s="12">
        <f t="shared" si="20"/>
        <v>0</v>
      </c>
      <c r="N56" s="59"/>
      <c r="O56" s="59"/>
      <c r="P56" s="59"/>
      <c r="Q56" s="59"/>
      <c r="R56" s="59"/>
      <c r="S56" s="59"/>
      <c r="T56" s="59"/>
      <c r="U56" s="59"/>
      <c r="V56" s="59"/>
      <c r="W56" s="59"/>
      <c r="X56" s="59"/>
      <c r="Y56" s="98"/>
    </row>
    <row r="57" spans="1:25" s="60" customFormat="1" ht="14.25" customHeight="1" x14ac:dyDescent="0.35">
      <c r="A57" s="1"/>
      <c r="B57" s="97" t="s">
        <v>53</v>
      </c>
      <c r="C57" s="9"/>
      <c r="D57" s="9"/>
      <c r="E57" s="9"/>
      <c r="F57" s="10"/>
      <c r="G57" s="11"/>
      <c r="H57" s="11"/>
      <c r="I57" s="12">
        <f t="shared" si="16"/>
        <v>0</v>
      </c>
      <c r="J57" s="12">
        <f t="shared" si="17"/>
        <v>0</v>
      </c>
      <c r="K57" s="12">
        <f t="shared" si="18"/>
        <v>0</v>
      </c>
      <c r="L57" s="12">
        <f t="shared" si="19"/>
        <v>0</v>
      </c>
      <c r="M57" s="12">
        <f t="shared" si="20"/>
        <v>0</v>
      </c>
      <c r="N57" s="59"/>
      <c r="O57" s="59"/>
      <c r="P57" s="59"/>
      <c r="Q57" s="59"/>
      <c r="R57" s="59"/>
      <c r="S57" s="59"/>
      <c r="T57" s="59"/>
      <c r="U57" s="59"/>
      <c r="V57" s="59"/>
      <c r="W57" s="59"/>
      <c r="X57" s="59"/>
      <c r="Y57" s="98"/>
    </row>
    <row r="58" spans="1:25" s="60" customFormat="1" ht="14.25" customHeight="1" x14ac:dyDescent="0.35">
      <c r="A58" s="1"/>
      <c r="B58" s="97" t="s">
        <v>54</v>
      </c>
      <c r="C58" s="9"/>
      <c r="D58" s="9"/>
      <c r="E58" s="9"/>
      <c r="F58" s="10"/>
      <c r="G58" s="11"/>
      <c r="H58" s="11"/>
      <c r="I58" s="12">
        <f t="shared" ref="I58:I59" si="21">(F58*G58)+H58</f>
        <v>0</v>
      </c>
      <c r="J58" s="12">
        <f t="shared" ref="J58:J59" si="22">I58*$D$20</f>
        <v>0</v>
      </c>
      <c r="K58" s="12">
        <f t="shared" ref="K58:K59" si="23">SUM(I58:J58)*5%</f>
        <v>0</v>
      </c>
      <c r="L58" s="12">
        <f t="shared" ref="L58:L59" si="24">SUM(I58:K58)</f>
        <v>0</v>
      </c>
      <c r="M58" s="12">
        <f t="shared" ref="M58:M59" si="25">SUM(N58, O58,P58,Q58,R58,S58,T58,U58,V58,W58,X58,Y58)</f>
        <v>0</v>
      </c>
      <c r="N58" s="59"/>
      <c r="O58" s="59"/>
      <c r="P58" s="59"/>
      <c r="Q58" s="59"/>
      <c r="R58" s="59"/>
      <c r="S58" s="59"/>
      <c r="T58" s="59"/>
      <c r="U58" s="59"/>
      <c r="V58" s="59"/>
      <c r="W58" s="59"/>
      <c r="X58" s="59"/>
      <c r="Y58" s="98"/>
    </row>
    <row r="59" spans="1:25" s="60" customFormat="1" ht="14.25" customHeight="1" x14ac:dyDescent="0.35">
      <c r="A59" s="1"/>
      <c r="B59" s="97" t="s">
        <v>55</v>
      </c>
      <c r="C59" s="9"/>
      <c r="D59" s="9"/>
      <c r="E59" s="9"/>
      <c r="F59" s="10"/>
      <c r="G59" s="11"/>
      <c r="H59" s="11"/>
      <c r="I59" s="12">
        <f t="shared" si="21"/>
        <v>0</v>
      </c>
      <c r="J59" s="12">
        <f t="shared" si="22"/>
        <v>0</v>
      </c>
      <c r="K59" s="12">
        <f t="shared" si="23"/>
        <v>0</v>
      </c>
      <c r="L59" s="12">
        <f t="shared" si="24"/>
        <v>0</v>
      </c>
      <c r="M59" s="12">
        <f t="shared" si="25"/>
        <v>0</v>
      </c>
      <c r="N59" s="59"/>
      <c r="O59" s="59"/>
      <c r="P59" s="59"/>
      <c r="Q59" s="59"/>
      <c r="R59" s="59"/>
      <c r="S59" s="59"/>
      <c r="T59" s="59"/>
      <c r="U59" s="59"/>
      <c r="V59" s="59"/>
      <c r="W59" s="59"/>
      <c r="X59" s="59"/>
      <c r="Y59" s="98"/>
    </row>
    <row r="60" spans="1:25" s="60" customFormat="1" ht="14.25" customHeight="1" x14ac:dyDescent="0.35">
      <c r="A60" s="1"/>
      <c r="B60" s="97" t="s">
        <v>56</v>
      </c>
      <c r="C60" s="9"/>
      <c r="D60" s="9"/>
      <c r="E60" s="9"/>
      <c r="F60" s="10"/>
      <c r="G60" s="11"/>
      <c r="H60" s="11"/>
      <c r="I60" s="12">
        <f t="shared" si="16"/>
        <v>0</v>
      </c>
      <c r="J60" s="12">
        <f t="shared" si="17"/>
        <v>0</v>
      </c>
      <c r="K60" s="12">
        <f t="shared" si="18"/>
        <v>0</v>
      </c>
      <c r="L60" s="12">
        <f t="shared" si="19"/>
        <v>0</v>
      </c>
      <c r="M60" s="12">
        <f t="shared" si="20"/>
        <v>0</v>
      </c>
      <c r="N60" s="59"/>
      <c r="O60" s="59"/>
      <c r="P60" s="59"/>
      <c r="Q60" s="59"/>
      <c r="R60" s="59"/>
      <c r="S60" s="59"/>
      <c r="T60" s="59"/>
      <c r="U60" s="59"/>
      <c r="V60" s="59"/>
      <c r="W60" s="59"/>
      <c r="X60" s="59"/>
      <c r="Y60" s="98"/>
    </row>
    <row r="61" spans="1:25" s="60" customFormat="1" ht="14.25" customHeight="1" x14ac:dyDescent="0.35">
      <c r="A61" s="1"/>
      <c r="B61" s="97" t="s">
        <v>124</v>
      </c>
      <c r="C61" s="9"/>
      <c r="D61" s="9"/>
      <c r="E61" s="9"/>
      <c r="F61" s="10"/>
      <c r="G61" s="11"/>
      <c r="H61" s="11"/>
      <c r="I61" s="12">
        <f t="shared" si="16"/>
        <v>0</v>
      </c>
      <c r="J61" s="12">
        <f t="shared" si="17"/>
        <v>0</v>
      </c>
      <c r="K61" s="12">
        <f t="shared" si="18"/>
        <v>0</v>
      </c>
      <c r="L61" s="12">
        <f t="shared" si="19"/>
        <v>0</v>
      </c>
      <c r="M61" s="12">
        <f t="shared" si="20"/>
        <v>0</v>
      </c>
      <c r="N61" s="59"/>
      <c r="O61" s="59"/>
      <c r="P61" s="59"/>
      <c r="Q61" s="59"/>
      <c r="R61" s="59"/>
      <c r="S61" s="59"/>
      <c r="T61" s="59"/>
      <c r="U61" s="59"/>
      <c r="V61" s="59"/>
      <c r="W61" s="59"/>
      <c r="X61" s="59"/>
      <c r="Y61" s="98"/>
    </row>
    <row r="62" spans="1:25" s="60" customFormat="1" ht="14.25" customHeight="1" x14ac:dyDescent="0.35">
      <c r="A62" s="1"/>
      <c r="B62" s="97" t="s">
        <v>125</v>
      </c>
      <c r="C62" s="9"/>
      <c r="D62" s="9"/>
      <c r="E62" s="9"/>
      <c r="F62" s="10"/>
      <c r="G62" s="11"/>
      <c r="H62" s="11"/>
      <c r="I62" s="12">
        <f t="shared" si="16"/>
        <v>0</v>
      </c>
      <c r="J62" s="12">
        <f t="shared" si="17"/>
        <v>0</v>
      </c>
      <c r="K62" s="12">
        <f t="shared" si="18"/>
        <v>0</v>
      </c>
      <c r="L62" s="12">
        <f t="shared" si="19"/>
        <v>0</v>
      </c>
      <c r="M62" s="12">
        <f t="shared" si="20"/>
        <v>0</v>
      </c>
      <c r="N62" s="59"/>
      <c r="O62" s="59"/>
      <c r="P62" s="59"/>
      <c r="Q62" s="59"/>
      <c r="R62" s="59"/>
      <c r="S62" s="59"/>
      <c r="T62" s="59"/>
      <c r="U62" s="59"/>
      <c r="V62" s="59"/>
      <c r="W62" s="59"/>
      <c r="X62" s="59"/>
      <c r="Y62" s="98"/>
    </row>
    <row r="63" spans="1:25" s="18" customFormat="1" ht="15.5" x14ac:dyDescent="0.35">
      <c r="A63" s="1"/>
      <c r="B63" s="193" t="s">
        <v>57</v>
      </c>
      <c r="C63" s="137"/>
      <c r="D63" s="138"/>
      <c r="E63" s="6"/>
      <c r="F63" s="7"/>
      <c r="G63" s="8"/>
      <c r="H63" s="8">
        <f t="shared" ref="H63:Y63" si="26">SUM(H64:H75)</f>
        <v>1</v>
      </c>
      <c r="I63" s="8">
        <f t="shared" si="26"/>
        <v>601</v>
      </c>
      <c r="J63" s="8">
        <f t="shared" si="26"/>
        <v>43.572499999999998</v>
      </c>
      <c r="K63" s="8">
        <f t="shared" si="26"/>
        <v>32.228625000000001</v>
      </c>
      <c r="L63" s="8">
        <f t="shared" si="26"/>
        <v>676.80112499999996</v>
      </c>
      <c r="M63" s="8">
        <f t="shared" si="26"/>
        <v>676.80112499999996</v>
      </c>
      <c r="N63" s="8">
        <f t="shared" si="26"/>
        <v>676.80112499999996</v>
      </c>
      <c r="O63" s="8">
        <f t="shared" si="26"/>
        <v>0</v>
      </c>
      <c r="P63" s="8">
        <f t="shared" si="26"/>
        <v>0</v>
      </c>
      <c r="Q63" s="8">
        <f t="shared" si="26"/>
        <v>0</v>
      </c>
      <c r="R63" s="8">
        <f t="shared" si="26"/>
        <v>0</v>
      </c>
      <c r="S63" s="8">
        <f t="shared" si="26"/>
        <v>0</v>
      </c>
      <c r="T63" s="8">
        <f t="shared" si="26"/>
        <v>0</v>
      </c>
      <c r="U63" s="8">
        <f t="shared" si="26"/>
        <v>0</v>
      </c>
      <c r="V63" s="8">
        <f t="shared" si="26"/>
        <v>0</v>
      </c>
      <c r="W63" s="8">
        <f t="shared" si="26"/>
        <v>0</v>
      </c>
      <c r="X63" s="8">
        <f t="shared" si="26"/>
        <v>0</v>
      </c>
      <c r="Y63" s="96">
        <f t="shared" si="26"/>
        <v>0</v>
      </c>
    </row>
    <row r="64" spans="1:25" s="60" customFormat="1" ht="14.25" customHeight="1" x14ac:dyDescent="0.35">
      <c r="A64" s="1"/>
      <c r="B64" s="97" t="s">
        <v>58</v>
      </c>
      <c r="C64" s="9" t="s">
        <v>101</v>
      </c>
      <c r="D64" s="9" t="s">
        <v>102</v>
      </c>
      <c r="E64" s="9" t="s">
        <v>110</v>
      </c>
      <c r="F64" s="10">
        <v>2</v>
      </c>
      <c r="G64" s="11">
        <v>300</v>
      </c>
      <c r="H64" s="11">
        <v>1</v>
      </c>
      <c r="I64" s="12">
        <f t="shared" ref="I64:I75" si="27">(F64*G64)+H64</f>
        <v>601</v>
      </c>
      <c r="J64" s="12">
        <f t="shared" ref="J64:J75" si="28">I64*$D$20</f>
        <v>43.572499999999998</v>
      </c>
      <c r="K64" s="12">
        <f t="shared" ref="K64:K75" si="29">SUM(I64:J64)*5%</f>
        <v>32.228625000000001</v>
      </c>
      <c r="L64" s="12">
        <f t="shared" ref="L64:L75" si="30">SUM(I64:K64)</f>
        <v>676.80112499999996</v>
      </c>
      <c r="M64" s="12">
        <f t="shared" ref="M64:M75" si="31">SUM(N64, O64,P64,Q64,R64,S64,T64,U64,V64,W64,X64,Y64)</f>
        <v>676.80112499999996</v>
      </c>
      <c r="N64" s="59">
        <f>L64</f>
        <v>676.80112499999996</v>
      </c>
      <c r="O64" s="59"/>
      <c r="P64" s="59"/>
      <c r="Q64" s="59"/>
      <c r="R64" s="59"/>
      <c r="S64" s="59"/>
      <c r="T64" s="59"/>
      <c r="U64" s="59"/>
      <c r="V64" s="59"/>
      <c r="W64" s="59"/>
      <c r="X64" s="59"/>
      <c r="Y64" s="98"/>
    </row>
    <row r="65" spans="1:25" s="60" customFormat="1" ht="14.25" customHeight="1" x14ac:dyDescent="0.35">
      <c r="A65" s="1"/>
      <c r="B65" s="97" t="s">
        <v>59</v>
      </c>
      <c r="C65" s="9"/>
      <c r="D65" s="9"/>
      <c r="E65" s="9"/>
      <c r="F65" s="10"/>
      <c r="G65" s="11"/>
      <c r="H65" s="11"/>
      <c r="I65" s="12">
        <f t="shared" si="27"/>
        <v>0</v>
      </c>
      <c r="J65" s="12">
        <f t="shared" si="28"/>
        <v>0</v>
      </c>
      <c r="K65" s="12">
        <f t="shared" si="29"/>
        <v>0</v>
      </c>
      <c r="L65" s="12">
        <f t="shared" si="30"/>
        <v>0</v>
      </c>
      <c r="M65" s="12">
        <f t="shared" si="31"/>
        <v>0</v>
      </c>
      <c r="N65" s="59"/>
      <c r="O65" s="59"/>
      <c r="P65" s="59"/>
      <c r="Q65" s="59"/>
      <c r="R65" s="59"/>
      <c r="S65" s="59"/>
      <c r="T65" s="59"/>
      <c r="U65" s="59"/>
      <c r="V65" s="59"/>
      <c r="W65" s="59"/>
      <c r="X65" s="59"/>
      <c r="Y65" s="98"/>
    </row>
    <row r="66" spans="1:25" s="60" customFormat="1" ht="14.25" customHeight="1" x14ac:dyDescent="0.35">
      <c r="A66" s="1"/>
      <c r="B66" s="97" t="s">
        <v>60</v>
      </c>
      <c r="C66" s="9"/>
      <c r="D66" s="9"/>
      <c r="E66" s="9"/>
      <c r="F66" s="10"/>
      <c r="G66" s="11"/>
      <c r="H66" s="11"/>
      <c r="I66" s="12">
        <f t="shared" si="27"/>
        <v>0</v>
      </c>
      <c r="J66" s="12">
        <f t="shared" si="28"/>
        <v>0</v>
      </c>
      <c r="K66" s="12">
        <f t="shared" si="29"/>
        <v>0</v>
      </c>
      <c r="L66" s="12">
        <f t="shared" si="30"/>
        <v>0</v>
      </c>
      <c r="M66" s="12">
        <f t="shared" si="31"/>
        <v>0</v>
      </c>
      <c r="N66" s="59"/>
      <c r="O66" s="59"/>
      <c r="P66" s="59"/>
      <c r="Q66" s="59"/>
      <c r="R66" s="59"/>
      <c r="S66" s="59"/>
      <c r="T66" s="59"/>
      <c r="U66" s="59"/>
      <c r="V66" s="59"/>
      <c r="W66" s="59"/>
      <c r="X66" s="59"/>
      <c r="Y66" s="98"/>
    </row>
    <row r="67" spans="1:25" s="60" customFormat="1" ht="14.25" customHeight="1" x14ac:dyDescent="0.35">
      <c r="A67" s="1"/>
      <c r="B67" s="97" t="s">
        <v>61</v>
      </c>
      <c r="C67" s="9"/>
      <c r="D67" s="9"/>
      <c r="E67" s="9"/>
      <c r="F67" s="10"/>
      <c r="G67" s="11"/>
      <c r="H67" s="11"/>
      <c r="I67" s="12">
        <f t="shared" si="27"/>
        <v>0</v>
      </c>
      <c r="J67" s="12">
        <f t="shared" si="28"/>
        <v>0</v>
      </c>
      <c r="K67" s="12">
        <f t="shared" si="29"/>
        <v>0</v>
      </c>
      <c r="L67" s="12">
        <f t="shared" si="30"/>
        <v>0</v>
      </c>
      <c r="M67" s="12">
        <f t="shared" si="31"/>
        <v>0</v>
      </c>
      <c r="N67" s="59"/>
      <c r="O67" s="59"/>
      <c r="P67" s="59"/>
      <c r="Q67" s="59"/>
      <c r="R67" s="59"/>
      <c r="S67" s="59"/>
      <c r="T67" s="59"/>
      <c r="U67" s="59"/>
      <c r="V67" s="59"/>
      <c r="W67" s="59"/>
      <c r="X67" s="59"/>
      <c r="Y67" s="98"/>
    </row>
    <row r="68" spans="1:25" s="61" customFormat="1" ht="14.25" customHeight="1" x14ac:dyDescent="0.35">
      <c r="A68" s="1"/>
      <c r="B68" s="97" t="s">
        <v>62</v>
      </c>
      <c r="C68" s="9"/>
      <c r="D68" s="9"/>
      <c r="E68" s="9"/>
      <c r="F68" s="10"/>
      <c r="G68" s="11"/>
      <c r="H68" s="11"/>
      <c r="I68" s="12">
        <f t="shared" si="27"/>
        <v>0</v>
      </c>
      <c r="J68" s="12">
        <f t="shared" si="28"/>
        <v>0</v>
      </c>
      <c r="K68" s="12">
        <f t="shared" si="29"/>
        <v>0</v>
      </c>
      <c r="L68" s="12">
        <f t="shared" si="30"/>
        <v>0</v>
      </c>
      <c r="M68" s="12">
        <f t="shared" si="31"/>
        <v>0</v>
      </c>
      <c r="N68" s="59"/>
      <c r="O68" s="59"/>
      <c r="P68" s="59"/>
      <c r="Q68" s="59"/>
      <c r="R68" s="59"/>
      <c r="S68" s="59"/>
      <c r="T68" s="59"/>
      <c r="U68" s="59"/>
      <c r="V68" s="59"/>
      <c r="W68" s="59"/>
      <c r="X68" s="59"/>
      <c r="Y68" s="98"/>
    </row>
    <row r="69" spans="1:25" s="60" customFormat="1" ht="14.25" customHeight="1" x14ac:dyDescent="0.35">
      <c r="A69" s="1"/>
      <c r="B69" s="97" t="s">
        <v>63</v>
      </c>
      <c r="C69" s="9"/>
      <c r="D69" s="9"/>
      <c r="E69" s="9"/>
      <c r="F69" s="10"/>
      <c r="G69" s="11"/>
      <c r="H69" s="11"/>
      <c r="I69" s="12">
        <f t="shared" si="27"/>
        <v>0</v>
      </c>
      <c r="J69" s="12">
        <f t="shared" si="28"/>
        <v>0</v>
      </c>
      <c r="K69" s="12">
        <f t="shared" si="29"/>
        <v>0</v>
      </c>
      <c r="L69" s="12">
        <f t="shared" si="30"/>
        <v>0</v>
      </c>
      <c r="M69" s="12">
        <f t="shared" si="31"/>
        <v>0</v>
      </c>
      <c r="N69" s="59"/>
      <c r="O69" s="59"/>
      <c r="P69" s="59"/>
      <c r="Q69" s="59"/>
      <c r="R69" s="59"/>
      <c r="S69" s="59"/>
      <c r="T69" s="59"/>
      <c r="U69" s="59"/>
      <c r="V69" s="59"/>
      <c r="W69" s="59"/>
      <c r="X69" s="59"/>
      <c r="Y69" s="98"/>
    </row>
    <row r="70" spans="1:25" s="60" customFormat="1" ht="14.25" customHeight="1" x14ac:dyDescent="0.35">
      <c r="A70" s="1"/>
      <c r="B70" s="97" t="s">
        <v>64</v>
      </c>
      <c r="C70" s="9"/>
      <c r="D70" s="9"/>
      <c r="E70" s="9"/>
      <c r="F70" s="10"/>
      <c r="G70" s="11"/>
      <c r="H70" s="11"/>
      <c r="I70" s="12">
        <f t="shared" si="27"/>
        <v>0</v>
      </c>
      <c r="J70" s="12">
        <f t="shared" si="28"/>
        <v>0</v>
      </c>
      <c r="K70" s="12">
        <f t="shared" si="29"/>
        <v>0</v>
      </c>
      <c r="L70" s="12">
        <f t="shared" si="30"/>
        <v>0</v>
      </c>
      <c r="M70" s="12">
        <f t="shared" si="31"/>
        <v>0</v>
      </c>
      <c r="N70" s="59"/>
      <c r="O70" s="59"/>
      <c r="P70" s="59"/>
      <c r="Q70" s="59"/>
      <c r="R70" s="59"/>
      <c r="S70" s="59"/>
      <c r="T70" s="59"/>
      <c r="U70" s="59"/>
      <c r="V70" s="59"/>
      <c r="W70" s="59"/>
      <c r="X70" s="59"/>
      <c r="Y70" s="98"/>
    </row>
    <row r="71" spans="1:25" s="60" customFormat="1" ht="14.25" customHeight="1" x14ac:dyDescent="0.35">
      <c r="A71" s="1"/>
      <c r="B71" s="97" t="s">
        <v>65</v>
      </c>
      <c r="C71" s="9"/>
      <c r="D71" s="9"/>
      <c r="E71" s="9"/>
      <c r="F71" s="10"/>
      <c r="G71" s="11"/>
      <c r="H71" s="11"/>
      <c r="I71" s="12">
        <f t="shared" ref="I71:I72" si="32">(F71*G71)+H71</f>
        <v>0</v>
      </c>
      <c r="J71" s="12">
        <f t="shared" ref="J71:J72" si="33">I71*$D$20</f>
        <v>0</v>
      </c>
      <c r="K71" s="12">
        <f t="shared" ref="K71:K72" si="34">SUM(I71:J71)*5%</f>
        <v>0</v>
      </c>
      <c r="L71" s="12">
        <f t="shared" ref="L71:L72" si="35">SUM(I71:K71)</f>
        <v>0</v>
      </c>
      <c r="M71" s="12">
        <f t="shared" ref="M71:M72" si="36">SUM(N71, O71,P71,Q71,R71,S71,T71,U71,V71,W71,X71,Y71)</f>
        <v>0</v>
      </c>
      <c r="N71" s="59"/>
      <c r="O71" s="59"/>
      <c r="P71" s="59"/>
      <c r="Q71" s="59"/>
      <c r="R71" s="59"/>
      <c r="S71" s="59"/>
      <c r="T71" s="59"/>
      <c r="U71" s="59"/>
      <c r="V71" s="59"/>
      <c r="W71" s="59"/>
      <c r="X71" s="59"/>
      <c r="Y71" s="98"/>
    </row>
    <row r="72" spans="1:25" s="60" customFormat="1" ht="14.25" customHeight="1" x14ac:dyDescent="0.35">
      <c r="A72" s="1"/>
      <c r="B72" s="97" t="s">
        <v>66</v>
      </c>
      <c r="C72" s="9"/>
      <c r="D72" s="9"/>
      <c r="E72" s="9"/>
      <c r="F72" s="10"/>
      <c r="G72" s="11"/>
      <c r="H72" s="11"/>
      <c r="I72" s="12">
        <f t="shared" si="32"/>
        <v>0</v>
      </c>
      <c r="J72" s="12">
        <f t="shared" si="33"/>
        <v>0</v>
      </c>
      <c r="K72" s="12">
        <f t="shared" si="34"/>
        <v>0</v>
      </c>
      <c r="L72" s="12">
        <f t="shared" si="35"/>
        <v>0</v>
      </c>
      <c r="M72" s="12">
        <f t="shared" si="36"/>
        <v>0</v>
      </c>
      <c r="N72" s="59"/>
      <c r="O72" s="59"/>
      <c r="P72" s="59"/>
      <c r="Q72" s="59"/>
      <c r="R72" s="59"/>
      <c r="S72" s="59"/>
      <c r="T72" s="59"/>
      <c r="U72" s="59"/>
      <c r="V72" s="59"/>
      <c r="W72" s="59"/>
      <c r="X72" s="59"/>
      <c r="Y72" s="98"/>
    </row>
    <row r="73" spans="1:25" s="60" customFormat="1" ht="14.25" customHeight="1" x14ac:dyDescent="0.35">
      <c r="A73" s="1"/>
      <c r="B73" s="97" t="s">
        <v>67</v>
      </c>
      <c r="C73" s="9"/>
      <c r="D73" s="9"/>
      <c r="E73" s="9"/>
      <c r="F73" s="10"/>
      <c r="G73" s="11"/>
      <c r="H73" s="11"/>
      <c r="I73" s="12">
        <f t="shared" si="27"/>
        <v>0</v>
      </c>
      <c r="J73" s="12">
        <f t="shared" si="28"/>
        <v>0</v>
      </c>
      <c r="K73" s="12">
        <f t="shared" si="29"/>
        <v>0</v>
      </c>
      <c r="L73" s="12">
        <f t="shared" si="30"/>
        <v>0</v>
      </c>
      <c r="M73" s="12">
        <f t="shared" si="31"/>
        <v>0</v>
      </c>
      <c r="N73" s="59"/>
      <c r="O73" s="59"/>
      <c r="P73" s="59"/>
      <c r="Q73" s="59"/>
      <c r="R73" s="59"/>
      <c r="S73" s="59"/>
      <c r="T73" s="59"/>
      <c r="U73" s="59"/>
      <c r="V73" s="59"/>
      <c r="W73" s="59"/>
      <c r="X73" s="59"/>
      <c r="Y73" s="98"/>
    </row>
    <row r="74" spans="1:25" s="60" customFormat="1" ht="14.25" customHeight="1" x14ac:dyDescent="0.35">
      <c r="A74" s="1"/>
      <c r="B74" s="97" t="s">
        <v>126</v>
      </c>
      <c r="C74" s="9"/>
      <c r="D74" s="9"/>
      <c r="E74" s="9"/>
      <c r="F74" s="10"/>
      <c r="G74" s="11"/>
      <c r="H74" s="11"/>
      <c r="I74" s="12">
        <f t="shared" si="27"/>
        <v>0</v>
      </c>
      <c r="J74" s="12">
        <f t="shared" si="28"/>
        <v>0</v>
      </c>
      <c r="K74" s="12">
        <f t="shared" si="29"/>
        <v>0</v>
      </c>
      <c r="L74" s="12">
        <f t="shared" si="30"/>
        <v>0</v>
      </c>
      <c r="M74" s="12">
        <f t="shared" si="31"/>
        <v>0</v>
      </c>
      <c r="N74" s="59"/>
      <c r="O74" s="59"/>
      <c r="P74" s="59"/>
      <c r="Q74" s="59"/>
      <c r="R74" s="59"/>
      <c r="S74" s="59"/>
      <c r="T74" s="59"/>
      <c r="U74" s="59"/>
      <c r="V74" s="59"/>
      <c r="W74" s="59"/>
      <c r="X74" s="59"/>
      <c r="Y74" s="98"/>
    </row>
    <row r="75" spans="1:25" s="60" customFormat="1" ht="14.25" customHeight="1" x14ac:dyDescent="0.35">
      <c r="A75" s="1"/>
      <c r="B75" s="97" t="s">
        <v>127</v>
      </c>
      <c r="C75" s="9"/>
      <c r="D75" s="9"/>
      <c r="E75" s="9"/>
      <c r="F75" s="10"/>
      <c r="G75" s="11"/>
      <c r="H75" s="11"/>
      <c r="I75" s="12">
        <f t="shared" si="27"/>
        <v>0</v>
      </c>
      <c r="J75" s="12">
        <f t="shared" si="28"/>
        <v>0</v>
      </c>
      <c r="K75" s="12">
        <f t="shared" si="29"/>
        <v>0</v>
      </c>
      <c r="L75" s="12">
        <f t="shared" si="30"/>
        <v>0</v>
      </c>
      <c r="M75" s="12">
        <f t="shared" si="31"/>
        <v>0</v>
      </c>
      <c r="N75" s="59"/>
      <c r="O75" s="59"/>
      <c r="P75" s="59"/>
      <c r="Q75" s="59"/>
      <c r="R75" s="59"/>
      <c r="S75" s="59"/>
      <c r="T75" s="59"/>
      <c r="U75" s="59"/>
      <c r="V75" s="59"/>
      <c r="W75" s="59"/>
      <c r="X75" s="59"/>
      <c r="Y75" s="98"/>
    </row>
    <row r="76" spans="1:25" s="18" customFormat="1" ht="15.5" x14ac:dyDescent="0.35">
      <c r="A76" s="1"/>
      <c r="B76" s="193" t="s">
        <v>68</v>
      </c>
      <c r="C76" s="137"/>
      <c r="D76" s="138"/>
      <c r="E76" s="6"/>
      <c r="F76" s="7"/>
      <c r="G76" s="8"/>
      <c r="H76" s="8">
        <f t="shared" ref="H76:Y76" si="37">SUM(H77:H88)</f>
        <v>1</v>
      </c>
      <c r="I76" s="8">
        <f t="shared" si="37"/>
        <v>6001</v>
      </c>
      <c r="J76" s="8">
        <f t="shared" si="37"/>
        <v>435.07249999999999</v>
      </c>
      <c r="K76" s="8">
        <f t="shared" si="37"/>
        <v>321.80362500000001</v>
      </c>
      <c r="L76" s="8">
        <f t="shared" si="37"/>
        <v>6757.8761250000007</v>
      </c>
      <c r="M76" s="8">
        <f t="shared" si="37"/>
        <v>6757.8761250000007</v>
      </c>
      <c r="N76" s="8">
        <f t="shared" si="37"/>
        <v>6757.8761250000007</v>
      </c>
      <c r="O76" s="8">
        <f t="shared" si="37"/>
        <v>0</v>
      </c>
      <c r="P76" s="8">
        <f t="shared" si="37"/>
        <v>0</v>
      </c>
      <c r="Q76" s="8">
        <f t="shared" si="37"/>
        <v>0</v>
      </c>
      <c r="R76" s="8">
        <f t="shared" si="37"/>
        <v>0</v>
      </c>
      <c r="S76" s="8">
        <f t="shared" si="37"/>
        <v>0</v>
      </c>
      <c r="T76" s="8">
        <f t="shared" si="37"/>
        <v>0</v>
      </c>
      <c r="U76" s="8">
        <f t="shared" si="37"/>
        <v>0</v>
      </c>
      <c r="V76" s="8">
        <f t="shared" si="37"/>
        <v>0</v>
      </c>
      <c r="W76" s="8">
        <f t="shared" si="37"/>
        <v>0</v>
      </c>
      <c r="X76" s="8">
        <f t="shared" si="37"/>
        <v>0</v>
      </c>
      <c r="Y76" s="96">
        <f t="shared" si="37"/>
        <v>0</v>
      </c>
    </row>
    <row r="77" spans="1:25" s="60" customFormat="1" ht="14.25" customHeight="1" x14ac:dyDescent="0.35">
      <c r="A77" s="1"/>
      <c r="B77" s="97" t="s">
        <v>69</v>
      </c>
      <c r="C77" s="9" t="s">
        <v>101</v>
      </c>
      <c r="D77" s="9" t="s">
        <v>102</v>
      </c>
      <c r="E77" s="9" t="s">
        <v>111</v>
      </c>
      <c r="F77" s="10">
        <v>2</v>
      </c>
      <c r="G77" s="11">
        <v>3000</v>
      </c>
      <c r="H77" s="11">
        <v>1</v>
      </c>
      <c r="I77" s="12">
        <f t="shared" ref="I77:I88" si="38">(F77*G77)+H77</f>
        <v>6001</v>
      </c>
      <c r="J77" s="12">
        <f t="shared" ref="J77:J88" si="39">I77*$D$20</f>
        <v>435.07249999999999</v>
      </c>
      <c r="K77" s="12">
        <f t="shared" ref="K77:K88" si="40">SUM(I77:J77)*5%</f>
        <v>321.80362500000001</v>
      </c>
      <c r="L77" s="12">
        <f t="shared" ref="L77:L88" si="41">SUM(I77:K77)</f>
        <v>6757.8761250000007</v>
      </c>
      <c r="M77" s="12">
        <f t="shared" ref="M77:M88" si="42">SUM(N77, O77,P77,Q77,R77,S77,T77,U77,V77,W77,X77,Y77)</f>
        <v>6757.8761250000007</v>
      </c>
      <c r="N77" s="59">
        <f>L77</f>
        <v>6757.8761250000007</v>
      </c>
      <c r="O77" s="59"/>
      <c r="P77" s="59"/>
      <c r="Q77" s="59"/>
      <c r="R77" s="59"/>
      <c r="S77" s="59"/>
      <c r="T77" s="59"/>
      <c r="U77" s="59"/>
      <c r="V77" s="59"/>
      <c r="W77" s="59"/>
      <c r="X77" s="59"/>
      <c r="Y77" s="98"/>
    </row>
    <row r="78" spans="1:25" s="60" customFormat="1" ht="14.25" customHeight="1" x14ac:dyDescent="0.35">
      <c r="A78" s="1"/>
      <c r="B78" s="97" t="s">
        <v>70</v>
      </c>
      <c r="C78" s="9"/>
      <c r="D78" s="9"/>
      <c r="E78" s="9"/>
      <c r="F78" s="10"/>
      <c r="G78" s="11"/>
      <c r="H78" s="11"/>
      <c r="I78" s="12">
        <f t="shared" si="38"/>
        <v>0</v>
      </c>
      <c r="J78" s="12">
        <f t="shared" si="39"/>
        <v>0</v>
      </c>
      <c r="K78" s="12">
        <f t="shared" si="40"/>
        <v>0</v>
      </c>
      <c r="L78" s="12">
        <f t="shared" si="41"/>
        <v>0</v>
      </c>
      <c r="M78" s="12">
        <f t="shared" si="42"/>
        <v>0</v>
      </c>
      <c r="N78" s="59"/>
      <c r="O78" s="59"/>
      <c r="P78" s="59"/>
      <c r="Q78" s="59"/>
      <c r="R78" s="59"/>
      <c r="S78" s="59"/>
      <c r="T78" s="59"/>
      <c r="U78" s="59"/>
      <c r="V78" s="59"/>
      <c r="W78" s="59"/>
      <c r="X78" s="59"/>
      <c r="Y78" s="98"/>
    </row>
    <row r="79" spans="1:25" s="60" customFormat="1" ht="14.25" customHeight="1" x14ac:dyDescent="0.35">
      <c r="A79" s="1"/>
      <c r="B79" s="97" t="s">
        <v>71</v>
      </c>
      <c r="C79" s="9"/>
      <c r="D79" s="9"/>
      <c r="E79" s="9"/>
      <c r="F79" s="10"/>
      <c r="G79" s="11"/>
      <c r="H79" s="11"/>
      <c r="I79" s="12">
        <f t="shared" si="38"/>
        <v>0</v>
      </c>
      <c r="J79" s="12">
        <f t="shared" si="39"/>
        <v>0</v>
      </c>
      <c r="K79" s="12">
        <f t="shared" si="40"/>
        <v>0</v>
      </c>
      <c r="L79" s="12">
        <f t="shared" si="41"/>
        <v>0</v>
      </c>
      <c r="M79" s="12">
        <f t="shared" si="42"/>
        <v>0</v>
      </c>
      <c r="N79" s="59"/>
      <c r="O79" s="59"/>
      <c r="P79" s="59"/>
      <c r="Q79" s="59"/>
      <c r="R79" s="59"/>
      <c r="S79" s="59"/>
      <c r="T79" s="59"/>
      <c r="U79" s="59"/>
      <c r="V79" s="59"/>
      <c r="W79" s="59"/>
      <c r="X79" s="59"/>
      <c r="Y79" s="98"/>
    </row>
    <row r="80" spans="1:25" s="60" customFormat="1" ht="14.25" customHeight="1" x14ac:dyDescent="0.35">
      <c r="A80" s="1"/>
      <c r="B80" s="97" t="s">
        <v>72</v>
      </c>
      <c r="C80" s="9"/>
      <c r="D80" s="9"/>
      <c r="E80" s="9"/>
      <c r="F80" s="10"/>
      <c r="G80" s="11"/>
      <c r="H80" s="11"/>
      <c r="I80" s="12">
        <f t="shared" si="38"/>
        <v>0</v>
      </c>
      <c r="J80" s="12">
        <f t="shared" si="39"/>
        <v>0</v>
      </c>
      <c r="K80" s="12">
        <f t="shared" si="40"/>
        <v>0</v>
      </c>
      <c r="L80" s="12">
        <f t="shared" si="41"/>
        <v>0</v>
      </c>
      <c r="M80" s="12">
        <f t="shared" si="42"/>
        <v>0</v>
      </c>
      <c r="N80" s="59"/>
      <c r="O80" s="59"/>
      <c r="P80" s="59"/>
      <c r="Q80" s="59"/>
      <c r="R80" s="59"/>
      <c r="S80" s="59"/>
      <c r="T80" s="59"/>
      <c r="U80" s="59"/>
      <c r="V80" s="59"/>
      <c r="W80" s="59"/>
      <c r="X80" s="59"/>
      <c r="Y80" s="98"/>
    </row>
    <row r="81" spans="1:25" s="60" customFormat="1" ht="14.25" customHeight="1" x14ac:dyDescent="0.35">
      <c r="A81" s="1"/>
      <c r="B81" s="97" t="s">
        <v>73</v>
      </c>
      <c r="C81" s="9"/>
      <c r="D81" s="9"/>
      <c r="E81" s="9"/>
      <c r="F81" s="10"/>
      <c r="G81" s="11"/>
      <c r="H81" s="11"/>
      <c r="I81" s="12">
        <f t="shared" ref="I81:I82" si="43">(F81*G81)+H81</f>
        <v>0</v>
      </c>
      <c r="J81" s="12">
        <f t="shared" ref="J81:J82" si="44">I81*$D$20</f>
        <v>0</v>
      </c>
      <c r="K81" s="12">
        <f t="shared" ref="K81:K82" si="45">SUM(I81:J81)*5%</f>
        <v>0</v>
      </c>
      <c r="L81" s="12">
        <f t="shared" ref="L81:L82" si="46">SUM(I81:K81)</f>
        <v>0</v>
      </c>
      <c r="M81" s="12">
        <f t="shared" ref="M81:M82" si="47">SUM(N81, O81,P81,Q81,R81,S81,T81,U81,V81,W81,X81,Y81)</f>
        <v>0</v>
      </c>
      <c r="N81" s="59"/>
      <c r="O81" s="59"/>
      <c r="P81" s="59"/>
      <c r="Q81" s="59"/>
      <c r="R81" s="59"/>
      <c r="S81" s="59"/>
      <c r="T81" s="59"/>
      <c r="U81" s="59"/>
      <c r="V81" s="59"/>
      <c r="W81" s="59"/>
      <c r="X81" s="59"/>
      <c r="Y81" s="98"/>
    </row>
    <row r="82" spans="1:25" s="60" customFormat="1" ht="14.25" customHeight="1" x14ac:dyDescent="0.35">
      <c r="A82" s="1"/>
      <c r="B82" s="97" t="s">
        <v>74</v>
      </c>
      <c r="C82" s="9"/>
      <c r="D82" s="9"/>
      <c r="E82" s="9"/>
      <c r="F82" s="10"/>
      <c r="G82" s="11"/>
      <c r="H82" s="11"/>
      <c r="I82" s="12">
        <f t="shared" si="43"/>
        <v>0</v>
      </c>
      <c r="J82" s="12">
        <f t="shared" si="44"/>
        <v>0</v>
      </c>
      <c r="K82" s="12">
        <f t="shared" si="45"/>
        <v>0</v>
      </c>
      <c r="L82" s="12">
        <f t="shared" si="46"/>
        <v>0</v>
      </c>
      <c r="M82" s="12">
        <f t="shared" si="47"/>
        <v>0</v>
      </c>
      <c r="N82" s="59"/>
      <c r="O82" s="59"/>
      <c r="P82" s="59"/>
      <c r="Q82" s="59"/>
      <c r="R82" s="59"/>
      <c r="S82" s="59"/>
      <c r="T82" s="59"/>
      <c r="U82" s="59"/>
      <c r="V82" s="59"/>
      <c r="W82" s="59"/>
      <c r="X82" s="59"/>
      <c r="Y82" s="98"/>
    </row>
    <row r="83" spans="1:25" s="60" customFormat="1" ht="14.25" customHeight="1" x14ac:dyDescent="0.35">
      <c r="A83" s="1"/>
      <c r="B83" s="97" t="s">
        <v>75</v>
      </c>
      <c r="C83" s="9"/>
      <c r="D83" s="9"/>
      <c r="E83" s="9"/>
      <c r="F83" s="10"/>
      <c r="G83" s="11"/>
      <c r="H83" s="11"/>
      <c r="I83" s="12">
        <f t="shared" si="38"/>
        <v>0</v>
      </c>
      <c r="J83" s="12">
        <f t="shared" si="39"/>
        <v>0</v>
      </c>
      <c r="K83" s="12">
        <f t="shared" si="40"/>
        <v>0</v>
      </c>
      <c r="L83" s="12">
        <f t="shared" si="41"/>
        <v>0</v>
      </c>
      <c r="M83" s="12">
        <f t="shared" si="42"/>
        <v>0</v>
      </c>
      <c r="N83" s="59"/>
      <c r="O83" s="59"/>
      <c r="P83" s="59"/>
      <c r="Q83" s="59"/>
      <c r="R83" s="59"/>
      <c r="S83" s="59"/>
      <c r="T83" s="59"/>
      <c r="U83" s="59"/>
      <c r="V83" s="59"/>
      <c r="W83" s="59"/>
      <c r="X83" s="59"/>
      <c r="Y83" s="98"/>
    </row>
    <row r="84" spans="1:25" s="60" customFormat="1" ht="14.25" customHeight="1" x14ac:dyDescent="0.35">
      <c r="A84" s="1"/>
      <c r="B84" s="97" t="s">
        <v>76</v>
      </c>
      <c r="C84" s="9"/>
      <c r="D84" s="9"/>
      <c r="E84" s="9"/>
      <c r="F84" s="10"/>
      <c r="G84" s="11"/>
      <c r="H84" s="11"/>
      <c r="I84" s="12">
        <f t="shared" si="38"/>
        <v>0</v>
      </c>
      <c r="J84" s="12">
        <f t="shared" si="39"/>
        <v>0</v>
      </c>
      <c r="K84" s="12">
        <f t="shared" si="40"/>
        <v>0</v>
      </c>
      <c r="L84" s="12">
        <f t="shared" si="41"/>
        <v>0</v>
      </c>
      <c r="M84" s="12">
        <f t="shared" si="42"/>
        <v>0</v>
      </c>
      <c r="N84" s="59"/>
      <c r="O84" s="59"/>
      <c r="P84" s="59"/>
      <c r="Q84" s="59"/>
      <c r="R84" s="59"/>
      <c r="S84" s="59"/>
      <c r="T84" s="59"/>
      <c r="U84" s="59"/>
      <c r="V84" s="59"/>
      <c r="W84" s="59"/>
      <c r="X84" s="59"/>
      <c r="Y84" s="98"/>
    </row>
    <row r="85" spans="1:25" s="60" customFormat="1" ht="14.25" customHeight="1" x14ac:dyDescent="0.35">
      <c r="A85" s="1"/>
      <c r="B85" s="97" t="s">
        <v>77</v>
      </c>
      <c r="C85" s="9"/>
      <c r="D85" s="9"/>
      <c r="E85" s="9"/>
      <c r="F85" s="10"/>
      <c r="G85" s="11"/>
      <c r="H85" s="11"/>
      <c r="I85" s="12">
        <f t="shared" si="38"/>
        <v>0</v>
      </c>
      <c r="J85" s="12">
        <f t="shared" si="39"/>
        <v>0</v>
      </c>
      <c r="K85" s="12">
        <f t="shared" si="40"/>
        <v>0</v>
      </c>
      <c r="L85" s="12">
        <f t="shared" si="41"/>
        <v>0</v>
      </c>
      <c r="M85" s="12">
        <f t="shared" si="42"/>
        <v>0</v>
      </c>
      <c r="N85" s="59"/>
      <c r="O85" s="59"/>
      <c r="P85" s="59"/>
      <c r="Q85" s="59"/>
      <c r="R85" s="59"/>
      <c r="S85" s="59"/>
      <c r="T85" s="59"/>
      <c r="U85" s="59"/>
      <c r="V85" s="59"/>
      <c r="W85" s="59"/>
      <c r="X85" s="59"/>
      <c r="Y85" s="98"/>
    </row>
    <row r="86" spans="1:25" s="60" customFormat="1" ht="14.25" customHeight="1" x14ac:dyDescent="0.35">
      <c r="A86" s="1"/>
      <c r="B86" s="97" t="s">
        <v>78</v>
      </c>
      <c r="C86" s="9"/>
      <c r="D86" s="9"/>
      <c r="E86" s="9"/>
      <c r="F86" s="10"/>
      <c r="G86" s="11"/>
      <c r="H86" s="11"/>
      <c r="I86" s="12">
        <f t="shared" si="38"/>
        <v>0</v>
      </c>
      <c r="J86" s="12">
        <f t="shared" si="39"/>
        <v>0</v>
      </c>
      <c r="K86" s="12">
        <f t="shared" si="40"/>
        <v>0</v>
      </c>
      <c r="L86" s="12">
        <f t="shared" si="41"/>
        <v>0</v>
      </c>
      <c r="M86" s="12">
        <f t="shared" si="42"/>
        <v>0</v>
      </c>
      <c r="N86" s="59"/>
      <c r="O86" s="59"/>
      <c r="P86" s="59"/>
      <c r="Q86" s="59"/>
      <c r="R86" s="59"/>
      <c r="S86" s="59"/>
      <c r="T86" s="59"/>
      <c r="U86" s="59"/>
      <c r="V86" s="59"/>
      <c r="W86" s="59"/>
      <c r="X86" s="59"/>
      <c r="Y86" s="98"/>
    </row>
    <row r="87" spans="1:25" s="60" customFormat="1" ht="14.25" customHeight="1" x14ac:dyDescent="0.35">
      <c r="A87" s="1"/>
      <c r="B87" s="97" t="s">
        <v>128</v>
      </c>
      <c r="C87" s="9"/>
      <c r="D87" s="9"/>
      <c r="E87" s="9"/>
      <c r="F87" s="10"/>
      <c r="G87" s="11"/>
      <c r="H87" s="11"/>
      <c r="I87" s="12">
        <f t="shared" si="38"/>
        <v>0</v>
      </c>
      <c r="J87" s="12">
        <f t="shared" si="39"/>
        <v>0</v>
      </c>
      <c r="K87" s="12">
        <f t="shared" si="40"/>
        <v>0</v>
      </c>
      <c r="L87" s="12">
        <f t="shared" si="41"/>
        <v>0</v>
      </c>
      <c r="M87" s="12">
        <f t="shared" si="42"/>
        <v>0</v>
      </c>
      <c r="N87" s="59"/>
      <c r="O87" s="59"/>
      <c r="P87" s="59"/>
      <c r="Q87" s="59"/>
      <c r="R87" s="59"/>
      <c r="S87" s="59"/>
      <c r="T87" s="59"/>
      <c r="U87" s="59"/>
      <c r="V87" s="59"/>
      <c r="W87" s="59"/>
      <c r="X87" s="59"/>
      <c r="Y87" s="98"/>
    </row>
    <row r="88" spans="1:25" s="60" customFormat="1" ht="14.25" customHeight="1" x14ac:dyDescent="0.35">
      <c r="A88" s="1"/>
      <c r="B88" s="97" t="s">
        <v>129</v>
      </c>
      <c r="C88" s="9"/>
      <c r="D88" s="9"/>
      <c r="E88" s="9"/>
      <c r="F88" s="10"/>
      <c r="G88" s="11"/>
      <c r="H88" s="11"/>
      <c r="I88" s="12">
        <f t="shared" si="38"/>
        <v>0</v>
      </c>
      <c r="J88" s="12">
        <f t="shared" si="39"/>
        <v>0</v>
      </c>
      <c r="K88" s="12">
        <f t="shared" si="40"/>
        <v>0</v>
      </c>
      <c r="L88" s="12">
        <f t="shared" si="41"/>
        <v>0</v>
      </c>
      <c r="M88" s="12">
        <f t="shared" si="42"/>
        <v>0</v>
      </c>
      <c r="N88" s="59"/>
      <c r="O88" s="59"/>
      <c r="P88" s="59"/>
      <c r="Q88" s="59"/>
      <c r="R88" s="59"/>
      <c r="S88" s="59"/>
      <c r="T88" s="59"/>
      <c r="U88" s="59"/>
      <c r="V88" s="59"/>
      <c r="W88" s="59"/>
      <c r="X88" s="59"/>
      <c r="Y88" s="98"/>
    </row>
    <row r="89" spans="1:25" s="18" customFormat="1" ht="15.5" x14ac:dyDescent="0.35">
      <c r="A89" s="1"/>
      <c r="B89" s="193" t="s">
        <v>79</v>
      </c>
      <c r="C89" s="137"/>
      <c r="D89" s="138"/>
      <c r="E89" s="6"/>
      <c r="F89" s="7"/>
      <c r="G89" s="8"/>
      <c r="H89" s="8">
        <f t="shared" ref="H89:Y89" si="48">SUM(H90:H101)</f>
        <v>1</v>
      </c>
      <c r="I89" s="8">
        <f t="shared" si="48"/>
        <v>1601</v>
      </c>
      <c r="J89" s="8">
        <f t="shared" si="48"/>
        <v>116.07249999999999</v>
      </c>
      <c r="K89" s="8">
        <f t="shared" si="48"/>
        <v>85.853625000000008</v>
      </c>
      <c r="L89" s="8">
        <f t="shared" si="48"/>
        <v>1802.926125</v>
      </c>
      <c r="M89" s="8">
        <f t="shared" si="48"/>
        <v>1802.926125</v>
      </c>
      <c r="N89" s="8">
        <f t="shared" si="48"/>
        <v>1802.926125</v>
      </c>
      <c r="O89" s="8">
        <f t="shared" si="48"/>
        <v>0</v>
      </c>
      <c r="P89" s="8">
        <f t="shared" si="48"/>
        <v>0</v>
      </c>
      <c r="Q89" s="8">
        <f t="shared" si="48"/>
        <v>0</v>
      </c>
      <c r="R89" s="8">
        <f t="shared" si="48"/>
        <v>0</v>
      </c>
      <c r="S89" s="8">
        <f t="shared" si="48"/>
        <v>0</v>
      </c>
      <c r="T89" s="8">
        <f t="shared" si="48"/>
        <v>0</v>
      </c>
      <c r="U89" s="8">
        <f t="shared" si="48"/>
        <v>0</v>
      </c>
      <c r="V89" s="8">
        <f t="shared" si="48"/>
        <v>0</v>
      </c>
      <c r="W89" s="8">
        <f t="shared" si="48"/>
        <v>0</v>
      </c>
      <c r="X89" s="8">
        <f t="shared" si="48"/>
        <v>0</v>
      </c>
      <c r="Y89" s="96">
        <f t="shared" si="48"/>
        <v>0</v>
      </c>
    </row>
    <row r="90" spans="1:25" s="60" customFormat="1" ht="14.25" customHeight="1" x14ac:dyDescent="0.35">
      <c r="A90" s="1"/>
      <c r="B90" s="97" t="s">
        <v>80</v>
      </c>
      <c r="C90" s="9" t="s">
        <v>101</v>
      </c>
      <c r="D90" s="9" t="s">
        <v>102</v>
      </c>
      <c r="E90" s="9" t="s">
        <v>108</v>
      </c>
      <c r="F90" s="10">
        <v>1</v>
      </c>
      <c r="G90" s="11">
        <v>1600</v>
      </c>
      <c r="H90" s="11">
        <v>1</v>
      </c>
      <c r="I90" s="12">
        <f t="shared" ref="I90:I101" si="49">(F90*G90)+H90</f>
        <v>1601</v>
      </c>
      <c r="J90" s="12">
        <f t="shared" ref="J90:J101" si="50">I90*$D$20</f>
        <v>116.07249999999999</v>
      </c>
      <c r="K90" s="12">
        <f t="shared" ref="K90:K101" si="51">SUM(I90:J90)*5%</f>
        <v>85.853625000000008</v>
      </c>
      <c r="L90" s="12">
        <f t="shared" ref="L90:L101" si="52">SUM(I90:K90)</f>
        <v>1802.926125</v>
      </c>
      <c r="M90" s="12">
        <f t="shared" ref="M90:M101" si="53">SUM(N90, O90,P90,Q90,R90,S90,T90,U90,V90,W90,X90,Y90)</f>
        <v>1802.926125</v>
      </c>
      <c r="N90" s="59">
        <f>L90</f>
        <v>1802.926125</v>
      </c>
      <c r="O90" s="59"/>
      <c r="P90" s="59"/>
      <c r="Q90" s="59"/>
      <c r="R90" s="59"/>
      <c r="S90" s="59"/>
      <c r="T90" s="59"/>
      <c r="U90" s="59"/>
      <c r="V90" s="59"/>
      <c r="W90" s="59"/>
      <c r="X90" s="59"/>
      <c r="Y90" s="98"/>
    </row>
    <row r="91" spans="1:25" s="60" customFormat="1" ht="14.25" customHeight="1" x14ac:dyDescent="0.35">
      <c r="A91" s="1"/>
      <c r="B91" s="97" t="s">
        <v>81</v>
      </c>
      <c r="C91" s="9"/>
      <c r="D91" s="9"/>
      <c r="E91" s="9"/>
      <c r="F91" s="10"/>
      <c r="G91" s="11"/>
      <c r="H91" s="11"/>
      <c r="I91" s="12">
        <f t="shared" si="49"/>
        <v>0</v>
      </c>
      <c r="J91" s="12">
        <f t="shared" si="50"/>
        <v>0</v>
      </c>
      <c r="K91" s="12">
        <f t="shared" si="51"/>
        <v>0</v>
      </c>
      <c r="L91" s="12">
        <f t="shared" si="52"/>
        <v>0</v>
      </c>
      <c r="M91" s="12">
        <f t="shared" si="53"/>
        <v>0</v>
      </c>
      <c r="N91" s="59"/>
      <c r="O91" s="59"/>
      <c r="P91" s="59"/>
      <c r="Q91" s="59"/>
      <c r="R91" s="59"/>
      <c r="S91" s="59"/>
      <c r="T91" s="59"/>
      <c r="U91" s="59"/>
      <c r="V91" s="59"/>
      <c r="W91" s="59"/>
      <c r="X91" s="59"/>
      <c r="Y91" s="98"/>
    </row>
    <row r="92" spans="1:25" s="60" customFormat="1" ht="14.25" customHeight="1" x14ac:dyDescent="0.35">
      <c r="A92" s="1"/>
      <c r="B92" s="97" t="s">
        <v>82</v>
      </c>
      <c r="C92" s="9"/>
      <c r="D92" s="9"/>
      <c r="E92" s="9"/>
      <c r="F92" s="10"/>
      <c r="G92" s="11"/>
      <c r="H92" s="11"/>
      <c r="I92" s="12">
        <f t="shared" si="49"/>
        <v>0</v>
      </c>
      <c r="J92" s="12">
        <f t="shared" si="50"/>
        <v>0</v>
      </c>
      <c r="K92" s="12">
        <f t="shared" si="51"/>
        <v>0</v>
      </c>
      <c r="L92" s="12">
        <f t="shared" si="52"/>
        <v>0</v>
      </c>
      <c r="M92" s="12">
        <f t="shared" si="53"/>
        <v>0</v>
      </c>
      <c r="N92" s="59"/>
      <c r="O92" s="59"/>
      <c r="P92" s="59"/>
      <c r="Q92" s="59"/>
      <c r="R92" s="59"/>
      <c r="S92" s="59"/>
      <c r="T92" s="59"/>
      <c r="U92" s="59"/>
      <c r="V92" s="59"/>
      <c r="W92" s="59"/>
      <c r="X92" s="59"/>
      <c r="Y92" s="98"/>
    </row>
    <row r="93" spans="1:25" s="60" customFormat="1" ht="14.25" customHeight="1" x14ac:dyDescent="0.35">
      <c r="A93" s="1"/>
      <c r="B93" s="97" t="s">
        <v>83</v>
      </c>
      <c r="C93" s="9"/>
      <c r="D93" s="9"/>
      <c r="E93" s="9"/>
      <c r="F93" s="10"/>
      <c r="G93" s="11"/>
      <c r="H93" s="11"/>
      <c r="I93" s="12">
        <f t="shared" si="49"/>
        <v>0</v>
      </c>
      <c r="J93" s="12">
        <f t="shared" si="50"/>
        <v>0</v>
      </c>
      <c r="K93" s="12">
        <f t="shared" si="51"/>
        <v>0</v>
      </c>
      <c r="L93" s="12">
        <f t="shared" si="52"/>
        <v>0</v>
      </c>
      <c r="M93" s="12">
        <f t="shared" si="53"/>
        <v>0</v>
      </c>
      <c r="N93" s="59"/>
      <c r="O93" s="59"/>
      <c r="P93" s="59"/>
      <c r="Q93" s="59"/>
      <c r="R93" s="59"/>
      <c r="S93" s="59"/>
      <c r="T93" s="59"/>
      <c r="U93" s="59"/>
      <c r="V93" s="59"/>
      <c r="W93" s="59"/>
      <c r="X93" s="59"/>
      <c r="Y93" s="98"/>
    </row>
    <row r="94" spans="1:25" s="60" customFormat="1" ht="14.25" customHeight="1" x14ac:dyDescent="0.35">
      <c r="A94" s="1"/>
      <c r="B94" s="97" t="s">
        <v>84</v>
      </c>
      <c r="C94" s="9"/>
      <c r="D94" s="9"/>
      <c r="E94" s="9"/>
      <c r="F94" s="10"/>
      <c r="G94" s="11"/>
      <c r="H94" s="11"/>
      <c r="I94" s="12">
        <f t="shared" si="49"/>
        <v>0</v>
      </c>
      <c r="J94" s="12">
        <f t="shared" si="50"/>
        <v>0</v>
      </c>
      <c r="K94" s="12">
        <f t="shared" si="51"/>
        <v>0</v>
      </c>
      <c r="L94" s="12">
        <f t="shared" si="52"/>
        <v>0</v>
      </c>
      <c r="M94" s="12">
        <f t="shared" si="53"/>
        <v>0</v>
      </c>
      <c r="N94" s="59"/>
      <c r="O94" s="59"/>
      <c r="P94" s="59"/>
      <c r="Q94" s="59"/>
      <c r="R94" s="59"/>
      <c r="S94" s="59"/>
      <c r="T94" s="59"/>
      <c r="U94" s="59"/>
      <c r="V94" s="59"/>
      <c r="W94" s="59"/>
      <c r="X94" s="59"/>
      <c r="Y94" s="98"/>
    </row>
    <row r="95" spans="1:25" s="60" customFormat="1" ht="14.25" customHeight="1" x14ac:dyDescent="0.35">
      <c r="A95" s="1"/>
      <c r="B95" s="97" t="s">
        <v>85</v>
      </c>
      <c r="C95" s="9"/>
      <c r="D95" s="9"/>
      <c r="E95" s="9"/>
      <c r="F95" s="10"/>
      <c r="G95" s="11"/>
      <c r="H95" s="11"/>
      <c r="I95" s="12">
        <f t="shared" ref="I95:I96" si="54">(F95*G95)+H95</f>
        <v>0</v>
      </c>
      <c r="J95" s="12">
        <f t="shared" ref="J95:J96" si="55">I95*$D$20</f>
        <v>0</v>
      </c>
      <c r="K95" s="12">
        <f t="shared" ref="K95:K96" si="56">SUM(I95:J95)*5%</f>
        <v>0</v>
      </c>
      <c r="L95" s="12">
        <f t="shared" ref="L95:L96" si="57">SUM(I95:K95)</f>
        <v>0</v>
      </c>
      <c r="M95" s="12">
        <f t="shared" ref="M95:M96" si="58">SUM(N95, O95,P95,Q95,R95,S95,T95,U95,V95,W95,X95,Y95)</f>
        <v>0</v>
      </c>
      <c r="N95" s="59"/>
      <c r="O95" s="59"/>
      <c r="P95" s="59"/>
      <c r="Q95" s="59"/>
      <c r="R95" s="59"/>
      <c r="S95" s="59"/>
      <c r="T95" s="59"/>
      <c r="U95" s="59"/>
      <c r="V95" s="59"/>
      <c r="W95" s="59"/>
      <c r="X95" s="59"/>
      <c r="Y95" s="98"/>
    </row>
    <row r="96" spans="1:25" s="60" customFormat="1" ht="14.25" customHeight="1" x14ac:dyDescent="0.35">
      <c r="A96" s="1"/>
      <c r="B96" s="97" t="s">
        <v>86</v>
      </c>
      <c r="C96" s="9"/>
      <c r="D96" s="9"/>
      <c r="E96" s="9"/>
      <c r="F96" s="10"/>
      <c r="G96" s="11"/>
      <c r="H96" s="11"/>
      <c r="I96" s="12">
        <f t="shared" si="54"/>
        <v>0</v>
      </c>
      <c r="J96" s="12">
        <f t="shared" si="55"/>
        <v>0</v>
      </c>
      <c r="K96" s="12">
        <f t="shared" si="56"/>
        <v>0</v>
      </c>
      <c r="L96" s="12">
        <f t="shared" si="57"/>
        <v>0</v>
      </c>
      <c r="M96" s="12">
        <f t="shared" si="58"/>
        <v>0</v>
      </c>
      <c r="N96" s="59"/>
      <c r="O96" s="59"/>
      <c r="P96" s="59"/>
      <c r="Q96" s="59"/>
      <c r="R96" s="59"/>
      <c r="S96" s="59"/>
      <c r="T96" s="59"/>
      <c r="U96" s="59"/>
      <c r="V96" s="59"/>
      <c r="W96" s="59"/>
      <c r="X96" s="59"/>
      <c r="Y96" s="98"/>
    </row>
    <row r="97" spans="1:25" s="60" customFormat="1" ht="14.25" customHeight="1" x14ac:dyDescent="0.35">
      <c r="A97" s="1"/>
      <c r="B97" s="97" t="s">
        <v>87</v>
      </c>
      <c r="C97" s="9"/>
      <c r="D97" s="9"/>
      <c r="E97" s="9"/>
      <c r="F97" s="10"/>
      <c r="G97" s="11"/>
      <c r="H97" s="11"/>
      <c r="I97" s="12">
        <f t="shared" si="49"/>
        <v>0</v>
      </c>
      <c r="J97" s="12">
        <f t="shared" si="50"/>
        <v>0</v>
      </c>
      <c r="K97" s="12">
        <f t="shared" si="51"/>
        <v>0</v>
      </c>
      <c r="L97" s="12">
        <f t="shared" si="52"/>
        <v>0</v>
      </c>
      <c r="M97" s="12">
        <f t="shared" si="53"/>
        <v>0</v>
      </c>
      <c r="N97" s="59"/>
      <c r="O97" s="59"/>
      <c r="P97" s="59"/>
      <c r="Q97" s="59"/>
      <c r="R97" s="59"/>
      <c r="S97" s="59"/>
      <c r="T97" s="59"/>
      <c r="U97" s="59"/>
      <c r="V97" s="59"/>
      <c r="W97" s="59"/>
      <c r="X97" s="59"/>
      <c r="Y97" s="98"/>
    </row>
    <row r="98" spans="1:25" s="60" customFormat="1" ht="14.25" customHeight="1" x14ac:dyDescent="0.35">
      <c r="A98" s="1"/>
      <c r="B98" s="97" t="s">
        <v>88</v>
      </c>
      <c r="C98" s="9"/>
      <c r="D98" s="9"/>
      <c r="E98" s="9"/>
      <c r="F98" s="10"/>
      <c r="G98" s="11"/>
      <c r="H98" s="11"/>
      <c r="I98" s="12">
        <f t="shared" si="49"/>
        <v>0</v>
      </c>
      <c r="J98" s="12">
        <f t="shared" si="50"/>
        <v>0</v>
      </c>
      <c r="K98" s="12">
        <f t="shared" si="51"/>
        <v>0</v>
      </c>
      <c r="L98" s="12">
        <f t="shared" si="52"/>
        <v>0</v>
      </c>
      <c r="M98" s="12">
        <f t="shared" si="53"/>
        <v>0</v>
      </c>
      <c r="N98" s="59"/>
      <c r="O98" s="59"/>
      <c r="P98" s="59"/>
      <c r="Q98" s="59"/>
      <c r="R98" s="59"/>
      <c r="S98" s="59"/>
      <c r="T98" s="59"/>
      <c r="U98" s="59"/>
      <c r="V98" s="59"/>
      <c r="W98" s="59"/>
      <c r="X98" s="59"/>
      <c r="Y98" s="98"/>
    </row>
    <row r="99" spans="1:25" s="60" customFormat="1" ht="14.25" customHeight="1" x14ac:dyDescent="0.35">
      <c r="A99" s="1"/>
      <c r="B99" s="97" t="s">
        <v>89</v>
      </c>
      <c r="C99" s="9"/>
      <c r="D99" s="9"/>
      <c r="E99" s="9"/>
      <c r="F99" s="10"/>
      <c r="G99" s="11"/>
      <c r="H99" s="11"/>
      <c r="I99" s="12">
        <f t="shared" si="49"/>
        <v>0</v>
      </c>
      <c r="J99" s="12">
        <f t="shared" si="50"/>
        <v>0</v>
      </c>
      <c r="K99" s="12">
        <f t="shared" si="51"/>
        <v>0</v>
      </c>
      <c r="L99" s="12">
        <f t="shared" si="52"/>
        <v>0</v>
      </c>
      <c r="M99" s="12">
        <f t="shared" si="53"/>
        <v>0</v>
      </c>
      <c r="N99" s="59"/>
      <c r="O99" s="59"/>
      <c r="P99" s="59"/>
      <c r="Q99" s="59"/>
      <c r="R99" s="59"/>
      <c r="S99" s="59"/>
      <c r="T99" s="59"/>
      <c r="U99" s="59"/>
      <c r="V99" s="59"/>
      <c r="W99" s="59"/>
      <c r="X99" s="59"/>
      <c r="Y99" s="98"/>
    </row>
    <row r="100" spans="1:25" s="60" customFormat="1" ht="14.25" customHeight="1" x14ac:dyDescent="0.35">
      <c r="A100" s="1"/>
      <c r="B100" s="97" t="s">
        <v>130</v>
      </c>
      <c r="C100" s="9"/>
      <c r="D100" s="9"/>
      <c r="E100" s="9"/>
      <c r="F100" s="10"/>
      <c r="G100" s="11"/>
      <c r="H100" s="11"/>
      <c r="I100" s="12">
        <f t="shared" ref="I100" si="59">(F100*G100)+H100</f>
        <v>0</v>
      </c>
      <c r="J100" s="12">
        <f t="shared" ref="J100" si="60">I100*$D$20</f>
        <v>0</v>
      </c>
      <c r="K100" s="12">
        <f t="shared" ref="K100" si="61">SUM(I100:J100)*5%</f>
        <v>0</v>
      </c>
      <c r="L100" s="12">
        <f t="shared" ref="L100" si="62">SUM(I100:K100)</f>
        <v>0</v>
      </c>
      <c r="M100" s="12">
        <f t="shared" ref="M100" si="63">SUM(N100, O100,P100,Q100,R100,S100,T100,U100,V100,W100,X100,Y100)</f>
        <v>0</v>
      </c>
      <c r="N100" s="59"/>
      <c r="O100" s="59"/>
      <c r="P100" s="59"/>
      <c r="Q100" s="59"/>
      <c r="R100" s="59"/>
      <c r="S100" s="59"/>
      <c r="T100" s="59"/>
      <c r="U100" s="59"/>
      <c r="V100" s="59"/>
      <c r="W100" s="59"/>
      <c r="X100" s="59"/>
      <c r="Y100" s="98"/>
    </row>
    <row r="101" spans="1:25" s="60" customFormat="1" ht="14.25" customHeight="1" x14ac:dyDescent="0.35">
      <c r="A101" s="1"/>
      <c r="B101" s="97" t="s">
        <v>131</v>
      </c>
      <c r="C101" s="9"/>
      <c r="D101" s="9"/>
      <c r="E101" s="9"/>
      <c r="F101" s="10"/>
      <c r="G101" s="11"/>
      <c r="H101" s="11"/>
      <c r="I101" s="12">
        <f t="shared" si="49"/>
        <v>0</v>
      </c>
      <c r="J101" s="12">
        <f t="shared" si="50"/>
        <v>0</v>
      </c>
      <c r="K101" s="12">
        <f t="shared" si="51"/>
        <v>0</v>
      </c>
      <c r="L101" s="12">
        <f t="shared" si="52"/>
        <v>0</v>
      </c>
      <c r="M101" s="12">
        <f t="shared" si="53"/>
        <v>0</v>
      </c>
      <c r="N101" s="59"/>
      <c r="O101" s="59"/>
      <c r="P101" s="59"/>
      <c r="Q101" s="59"/>
      <c r="R101" s="59"/>
      <c r="S101" s="59"/>
      <c r="T101" s="59"/>
      <c r="U101" s="59"/>
      <c r="V101" s="59"/>
      <c r="W101" s="59"/>
      <c r="X101" s="59"/>
      <c r="Y101" s="98"/>
    </row>
    <row r="102" spans="1:25" s="18" customFormat="1" ht="15.5" x14ac:dyDescent="0.35">
      <c r="A102" s="1"/>
      <c r="B102" s="193" t="s">
        <v>90</v>
      </c>
      <c r="C102" s="137"/>
      <c r="D102" s="138"/>
      <c r="E102" s="6"/>
      <c r="F102" s="7"/>
      <c r="G102" s="8"/>
      <c r="H102" s="8">
        <f t="shared" ref="H102:Y102" si="64">SUM(H103:H114)</f>
        <v>1</v>
      </c>
      <c r="I102" s="8">
        <f t="shared" si="64"/>
        <v>1601</v>
      </c>
      <c r="J102" s="8">
        <f t="shared" si="64"/>
        <v>116.07249999999999</v>
      </c>
      <c r="K102" s="8">
        <f t="shared" si="64"/>
        <v>85.853625000000008</v>
      </c>
      <c r="L102" s="8">
        <f t="shared" si="64"/>
        <v>1802.926125</v>
      </c>
      <c r="M102" s="8">
        <f t="shared" si="64"/>
        <v>1802.926125</v>
      </c>
      <c r="N102" s="8">
        <f t="shared" si="64"/>
        <v>1802.926125</v>
      </c>
      <c r="O102" s="8">
        <f t="shared" si="64"/>
        <v>0</v>
      </c>
      <c r="P102" s="8">
        <f t="shared" si="64"/>
        <v>0</v>
      </c>
      <c r="Q102" s="8">
        <f t="shared" si="64"/>
        <v>0</v>
      </c>
      <c r="R102" s="8">
        <f t="shared" si="64"/>
        <v>0</v>
      </c>
      <c r="S102" s="8">
        <f t="shared" si="64"/>
        <v>0</v>
      </c>
      <c r="T102" s="8">
        <f t="shared" si="64"/>
        <v>0</v>
      </c>
      <c r="U102" s="8">
        <f t="shared" si="64"/>
        <v>0</v>
      </c>
      <c r="V102" s="8">
        <f t="shared" si="64"/>
        <v>0</v>
      </c>
      <c r="W102" s="8">
        <f t="shared" si="64"/>
        <v>0</v>
      </c>
      <c r="X102" s="8">
        <f t="shared" si="64"/>
        <v>0</v>
      </c>
      <c r="Y102" s="96">
        <f t="shared" si="64"/>
        <v>0</v>
      </c>
    </row>
    <row r="103" spans="1:25" s="60" customFormat="1" ht="14.25" customHeight="1" x14ac:dyDescent="0.35">
      <c r="A103" s="1"/>
      <c r="B103" s="97" t="s">
        <v>91</v>
      </c>
      <c r="C103" s="9" t="s">
        <v>101</v>
      </c>
      <c r="D103" s="9" t="s">
        <v>102</v>
      </c>
      <c r="E103" s="9" t="s">
        <v>107</v>
      </c>
      <c r="F103" s="10">
        <v>1</v>
      </c>
      <c r="G103" s="11">
        <v>1600</v>
      </c>
      <c r="H103" s="11">
        <v>1</v>
      </c>
      <c r="I103" s="12">
        <f t="shared" ref="I103:I114" si="65">(F103*G103)+H103</f>
        <v>1601</v>
      </c>
      <c r="J103" s="12">
        <f t="shared" ref="J103:J114" si="66">I103*$D$20</f>
        <v>116.07249999999999</v>
      </c>
      <c r="K103" s="12">
        <f t="shared" ref="K103:K114" si="67">SUM(I103:J103)*5%</f>
        <v>85.853625000000008</v>
      </c>
      <c r="L103" s="12">
        <f t="shared" ref="L103:L114" si="68">SUM(I103:K103)</f>
        <v>1802.926125</v>
      </c>
      <c r="M103" s="12">
        <f t="shared" ref="M103:M114" si="69">SUM(N103, O103,P103,Q103,R103,S103,T103,U103,V103,W103,X103,Y103)</f>
        <v>1802.926125</v>
      </c>
      <c r="N103" s="59">
        <f>L103</f>
        <v>1802.926125</v>
      </c>
      <c r="O103" s="59"/>
      <c r="P103" s="59"/>
      <c r="Q103" s="59"/>
      <c r="R103" s="59"/>
      <c r="S103" s="59"/>
      <c r="T103" s="59"/>
      <c r="U103" s="59"/>
      <c r="V103" s="59"/>
      <c r="W103" s="59"/>
      <c r="X103" s="59"/>
      <c r="Y103" s="98"/>
    </row>
    <row r="104" spans="1:25" s="60" customFormat="1" ht="14.25" customHeight="1" x14ac:dyDescent="0.35">
      <c r="A104" s="1"/>
      <c r="B104" s="97" t="s">
        <v>92</v>
      </c>
      <c r="C104" s="9"/>
      <c r="D104" s="9"/>
      <c r="E104" s="9"/>
      <c r="F104" s="10"/>
      <c r="G104" s="11"/>
      <c r="H104" s="11"/>
      <c r="I104" s="12">
        <f t="shared" si="65"/>
        <v>0</v>
      </c>
      <c r="J104" s="12">
        <f t="shared" si="66"/>
        <v>0</v>
      </c>
      <c r="K104" s="12">
        <f t="shared" si="67"/>
        <v>0</v>
      </c>
      <c r="L104" s="12">
        <f t="shared" si="68"/>
        <v>0</v>
      </c>
      <c r="M104" s="12">
        <f t="shared" si="69"/>
        <v>0</v>
      </c>
      <c r="N104" s="59"/>
      <c r="O104" s="59"/>
      <c r="P104" s="59"/>
      <c r="Q104" s="59"/>
      <c r="R104" s="59"/>
      <c r="S104" s="59"/>
      <c r="T104" s="59"/>
      <c r="U104" s="59"/>
      <c r="V104" s="59"/>
      <c r="W104" s="59"/>
      <c r="X104" s="59"/>
      <c r="Y104" s="98"/>
    </row>
    <row r="105" spans="1:25" s="60" customFormat="1" ht="14.25" customHeight="1" x14ac:dyDescent="0.35">
      <c r="A105" s="1"/>
      <c r="B105" s="97" t="s">
        <v>93</v>
      </c>
      <c r="C105" s="9"/>
      <c r="D105" s="9"/>
      <c r="E105" s="9"/>
      <c r="F105" s="10"/>
      <c r="G105" s="11"/>
      <c r="H105" s="11"/>
      <c r="I105" s="12">
        <f t="shared" si="65"/>
        <v>0</v>
      </c>
      <c r="J105" s="12">
        <f t="shared" si="66"/>
        <v>0</v>
      </c>
      <c r="K105" s="12">
        <f t="shared" si="67"/>
        <v>0</v>
      </c>
      <c r="L105" s="12">
        <f t="shared" si="68"/>
        <v>0</v>
      </c>
      <c r="M105" s="12">
        <f t="shared" si="69"/>
        <v>0</v>
      </c>
      <c r="N105" s="59"/>
      <c r="O105" s="59"/>
      <c r="P105" s="59"/>
      <c r="Q105" s="59"/>
      <c r="R105" s="59"/>
      <c r="S105" s="59"/>
      <c r="T105" s="59"/>
      <c r="U105" s="59"/>
      <c r="V105" s="59"/>
      <c r="W105" s="59"/>
      <c r="X105" s="59"/>
      <c r="Y105" s="98"/>
    </row>
    <row r="106" spans="1:25" s="61" customFormat="1" ht="14.25" customHeight="1" x14ac:dyDescent="0.35">
      <c r="A106" s="1"/>
      <c r="B106" s="97" t="s">
        <v>94</v>
      </c>
      <c r="C106" s="9"/>
      <c r="D106" s="9"/>
      <c r="E106" s="9"/>
      <c r="F106" s="10"/>
      <c r="G106" s="11"/>
      <c r="H106" s="11"/>
      <c r="I106" s="12">
        <f t="shared" si="65"/>
        <v>0</v>
      </c>
      <c r="J106" s="12">
        <f t="shared" si="66"/>
        <v>0</v>
      </c>
      <c r="K106" s="12">
        <f t="shared" si="67"/>
        <v>0</v>
      </c>
      <c r="L106" s="12">
        <f t="shared" si="68"/>
        <v>0</v>
      </c>
      <c r="M106" s="12">
        <f t="shared" si="69"/>
        <v>0</v>
      </c>
      <c r="N106" s="59"/>
      <c r="O106" s="59"/>
      <c r="P106" s="59"/>
      <c r="Q106" s="59"/>
      <c r="R106" s="59"/>
      <c r="S106" s="59"/>
      <c r="T106" s="59"/>
      <c r="U106" s="59"/>
      <c r="V106" s="59"/>
      <c r="W106" s="59"/>
      <c r="X106" s="59"/>
      <c r="Y106" s="98"/>
    </row>
    <row r="107" spans="1:25" s="60" customFormat="1" ht="14.25" customHeight="1" x14ac:dyDescent="0.35">
      <c r="A107" s="1"/>
      <c r="B107" s="97" t="s">
        <v>95</v>
      </c>
      <c r="C107" s="9"/>
      <c r="D107" s="9"/>
      <c r="E107" s="9"/>
      <c r="F107" s="10"/>
      <c r="G107" s="11"/>
      <c r="H107" s="11"/>
      <c r="I107" s="12">
        <f t="shared" si="65"/>
        <v>0</v>
      </c>
      <c r="J107" s="12">
        <f t="shared" si="66"/>
        <v>0</v>
      </c>
      <c r="K107" s="12">
        <f t="shared" si="67"/>
        <v>0</v>
      </c>
      <c r="L107" s="12">
        <f t="shared" si="68"/>
        <v>0</v>
      </c>
      <c r="M107" s="12">
        <f t="shared" si="69"/>
        <v>0</v>
      </c>
      <c r="N107" s="59"/>
      <c r="O107" s="59"/>
      <c r="P107" s="59"/>
      <c r="Q107" s="59"/>
      <c r="R107" s="59"/>
      <c r="S107" s="59"/>
      <c r="T107" s="59"/>
      <c r="U107" s="59"/>
      <c r="V107" s="59"/>
      <c r="W107" s="59"/>
      <c r="X107" s="59"/>
      <c r="Y107" s="98"/>
    </row>
    <row r="108" spans="1:25" s="60" customFormat="1" ht="14.25" customHeight="1" x14ac:dyDescent="0.35">
      <c r="A108" s="1"/>
      <c r="B108" s="97" t="s">
        <v>96</v>
      </c>
      <c r="C108" s="9"/>
      <c r="D108" s="9"/>
      <c r="E108" s="9"/>
      <c r="F108" s="10"/>
      <c r="G108" s="11"/>
      <c r="H108" s="11"/>
      <c r="I108" s="12">
        <f t="shared" ref="I108:I109" si="70">(F108*G108)+H108</f>
        <v>0</v>
      </c>
      <c r="J108" s="12">
        <f t="shared" ref="J108:J109" si="71">I108*$D$20</f>
        <v>0</v>
      </c>
      <c r="K108" s="12">
        <f t="shared" ref="K108:K109" si="72">SUM(I108:J108)*5%</f>
        <v>0</v>
      </c>
      <c r="L108" s="12">
        <f t="shared" ref="L108:L109" si="73">SUM(I108:K108)</f>
        <v>0</v>
      </c>
      <c r="M108" s="12">
        <f t="shared" ref="M108:M109" si="74">SUM(N108, O108,P108,Q108,R108,S108,T108,U108,V108,W108,X108,Y108)</f>
        <v>0</v>
      </c>
      <c r="N108" s="59"/>
      <c r="O108" s="59"/>
      <c r="P108" s="59"/>
      <c r="Q108" s="59"/>
      <c r="R108" s="59"/>
      <c r="S108" s="59"/>
      <c r="T108" s="59"/>
      <c r="U108" s="59"/>
      <c r="V108" s="59"/>
      <c r="W108" s="59"/>
      <c r="X108" s="59"/>
      <c r="Y108" s="98"/>
    </row>
    <row r="109" spans="1:25" s="60" customFormat="1" ht="14.25" customHeight="1" x14ac:dyDescent="0.35">
      <c r="A109" s="1"/>
      <c r="B109" s="97" t="s">
        <v>97</v>
      </c>
      <c r="C109" s="9"/>
      <c r="D109" s="9"/>
      <c r="E109" s="9"/>
      <c r="F109" s="10"/>
      <c r="G109" s="11"/>
      <c r="H109" s="11"/>
      <c r="I109" s="12">
        <f t="shared" si="70"/>
        <v>0</v>
      </c>
      <c r="J109" s="12">
        <f t="shared" si="71"/>
        <v>0</v>
      </c>
      <c r="K109" s="12">
        <f t="shared" si="72"/>
        <v>0</v>
      </c>
      <c r="L109" s="12">
        <f t="shared" si="73"/>
        <v>0</v>
      </c>
      <c r="M109" s="12">
        <f t="shared" si="74"/>
        <v>0</v>
      </c>
      <c r="N109" s="59"/>
      <c r="O109" s="59"/>
      <c r="P109" s="59"/>
      <c r="Q109" s="59"/>
      <c r="R109" s="59"/>
      <c r="S109" s="59"/>
      <c r="T109" s="59"/>
      <c r="U109" s="59"/>
      <c r="V109" s="59"/>
      <c r="W109" s="59"/>
      <c r="X109" s="59"/>
      <c r="Y109" s="98"/>
    </row>
    <row r="110" spans="1:25" s="60" customFormat="1" ht="14.25" customHeight="1" x14ac:dyDescent="0.35">
      <c r="A110" s="1"/>
      <c r="B110" s="97" t="s">
        <v>98</v>
      </c>
      <c r="C110" s="9"/>
      <c r="D110" s="9"/>
      <c r="E110" s="9"/>
      <c r="F110" s="10"/>
      <c r="G110" s="11"/>
      <c r="H110" s="11"/>
      <c r="I110" s="12">
        <f t="shared" si="65"/>
        <v>0</v>
      </c>
      <c r="J110" s="12">
        <f t="shared" si="66"/>
        <v>0</v>
      </c>
      <c r="K110" s="12">
        <f t="shared" si="67"/>
        <v>0</v>
      </c>
      <c r="L110" s="12">
        <f t="shared" si="68"/>
        <v>0</v>
      </c>
      <c r="M110" s="12">
        <f t="shared" si="69"/>
        <v>0</v>
      </c>
      <c r="N110" s="59"/>
      <c r="O110" s="59"/>
      <c r="P110" s="59"/>
      <c r="Q110" s="59"/>
      <c r="R110" s="59"/>
      <c r="S110" s="59"/>
      <c r="T110" s="59"/>
      <c r="U110" s="59"/>
      <c r="V110" s="59"/>
      <c r="W110" s="59"/>
      <c r="X110" s="59"/>
      <c r="Y110" s="98"/>
    </row>
    <row r="111" spans="1:25" s="60" customFormat="1" ht="14.25" customHeight="1" x14ac:dyDescent="0.35">
      <c r="A111" s="1"/>
      <c r="B111" s="97" t="s">
        <v>99</v>
      </c>
      <c r="C111" s="9"/>
      <c r="D111" s="9"/>
      <c r="E111" s="9"/>
      <c r="F111" s="10"/>
      <c r="G111" s="11"/>
      <c r="H111" s="11"/>
      <c r="I111" s="12">
        <f t="shared" si="65"/>
        <v>0</v>
      </c>
      <c r="J111" s="12">
        <f t="shared" si="66"/>
        <v>0</v>
      </c>
      <c r="K111" s="12">
        <f t="shared" si="67"/>
        <v>0</v>
      </c>
      <c r="L111" s="12">
        <f t="shared" si="68"/>
        <v>0</v>
      </c>
      <c r="M111" s="12">
        <f t="shared" si="69"/>
        <v>0</v>
      </c>
      <c r="N111" s="59"/>
      <c r="O111" s="59"/>
      <c r="P111" s="59"/>
      <c r="Q111" s="59"/>
      <c r="R111" s="59"/>
      <c r="S111" s="59"/>
      <c r="T111" s="59"/>
      <c r="U111" s="59"/>
      <c r="V111" s="59"/>
      <c r="W111" s="59"/>
      <c r="X111" s="59"/>
      <c r="Y111" s="98"/>
    </row>
    <row r="112" spans="1:25" s="60" customFormat="1" ht="14.25" customHeight="1" x14ac:dyDescent="0.35">
      <c r="A112" s="1"/>
      <c r="B112" s="97" t="s">
        <v>100</v>
      </c>
      <c r="C112" s="9"/>
      <c r="D112" s="9"/>
      <c r="E112" s="9"/>
      <c r="F112" s="10"/>
      <c r="G112" s="11"/>
      <c r="H112" s="11"/>
      <c r="I112" s="12">
        <f t="shared" si="65"/>
        <v>0</v>
      </c>
      <c r="J112" s="12">
        <f t="shared" si="66"/>
        <v>0</v>
      </c>
      <c r="K112" s="12">
        <f t="shared" si="67"/>
        <v>0</v>
      </c>
      <c r="L112" s="12">
        <f t="shared" si="68"/>
        <v>0</v>
      </c>
      <c r="M112" s="12">
        <f t="shared" si="69"/>
        <v>0</v>
      </c>
      <c r="N112" s="59"/>
      <c r="O112" s="59"/>
      <c r="P112" s="59"/>
      <c r="Q112" s="59"/>
      <c r="R112" s="59"/>
      <c r="S112" s="59"/>
      <c r="T112" s="59"/>
      <c r="U112" s="59"/>
      <c r="V112" s="59"/>
      <c r="W112" s="59"/>
      <c r="X112" s="59"/>
      <c r="Y112" s="98"/>
    </row>
    <row r="113" spans="1:25" s="60" customFormat="1" ht="14.25" customHeight="1" x14ac:dyDescent="0.35">
      <c r="A113" s="1"/>
      <c r="B113" s="97" t="s">
        <v>132</v>
      </c>
      <c r="C113" s="9"/>
      <c r="D113" s="9"/>
      <c r="E113" s="9"/>
      <c r="F113" s="10"/>
      <c r="G113" s="11"/>
      <c r="H113" s="11"/>
      <c r="I113" s="12">
        <f t="shared" si="65"/>
        <v>0</v>
      </c>
      <c r="J113" s="12">
        <f t="shared" si="66"/>
        <v>0</v>
      </c>
      <c r="K113" s="12">
        <f t="shared" si="67"/>
        <v>0</v>
      </c>
      <c r="L113" s="12">
        <f t="shared" si="68"/>
        <v>0</v>
      </c>
      <c r="M113" s="12">
        <f t="shared" si="69"/>
        <v>0</v>
      </c>
      <c r="N113" s="59"/>
      <c r="O113" s="59"/>
      <c r="P113" s="59"/>
      <c r="Q113" s="59"/>
      <c r="R113" s="59"/>
      <c r="S113" s="59"/>
      <c r="T113" s="59"/>
      <c r="U113" s="59"/>
      <c r="V113" s="59"/>
      <c r="W113" s="59"/>
      <c r="X113" s="59"/>
      <c r="Y113" s="98"/>
    </row>
    <row r="114" spans="1:25" s="60" customFormat="1" ht="14.25" customHeight="1" x14ac:dyDescent="0.35">
      <c r="A114" s="1"/>
      <c r="B114" s="97" t="s">
        <v>133</v>
      </c>
      <c r="C114" s="9"/>
      <c r="D114" s="9"/>
      <c r="E114" s="9"/>
      <c r="F114" s="10"/>
      <c r="G114" s="11"/>
      <c r="H114" s="11"/>
      <c r="I114" s="12">
        <f t="shared" si="65"/>
        <v>0</v>
      </c>
      <c r="J114" s="12">
        <f t="shared" si="66"/>
        <v>0</v>
      </c>
      <c r="K114" s="12">
        <f t="shared" si="67"/>
        <v>0</v>
      </c>
      <c r="L114" s="12">
        <f t="shared" si="68"/>
        <v>0</v>
      </c>
      <c r="M114" s="12">
        <f t="shared" si="69"/>
        <v>0</v>
      </c>
      <c r="N114" s="59"/>
      <c r="O114" s="59"/>
      <c r="P114" s="59"/>
      <c r="Q114" s="59"/>
      <c r="R114" s="59"/>
      <c r="S114" s="59"/>
      <c r="T114" s="59"/>
      <c r="U114" s="59"/>
      <c r="V114" s="59"/>
      <c r="W114" s="59"/>
      <c r="X114" s="59"/>
      <c r="Y114" s="98"/>
    </row>
    <row r="115" spans="1:25" s="18" customFormat="1" ht="15.5" x14ac:dyDescent="0.35">
      <c r="A115" s="1"/>
      <c r="B115" s="154" t="s">
        <v>113</v>
      </c>
      <c r="C115" s="212"/>
      <c r="D115" s="213"/>
      <c r="E115" s="31"/>
      <c r="F115" s="32"/>
      <c r="G115" s="33"/>
      <c r="H115" s="33">
        <f>SUMIF($E$38:$E$49:$E$51:$E$62:$E$64:$E$75:$E$77:$E$88:$E$90:$E$101:$E$103:$E$114,"QA",H$38:H$49:H$51:H$62:H$64:H$75:H$77:H$88:H$90:H$101:H$103:H$114)</f>
        <v>2</v>
      </c>
      <c r="I115" s="33">
        <f>SUMIF($E$38:$E$49:$E$51:$E$62:$E$64:$E$75:$E$77:$E$88:$E$90:$E$101:$E$103:$E$114,"QA",I$38:I$49:I$51:I$62:I$64:I$75:I$77:I$88:I$90:I$101:I$103:I$114)</f>
        <v>13752</v>
      </c>
      <c r="J115" s="33">
        <f>SUMIF($E$38:$E$49:$E$51:$E$62:$E$64:$E$75:$E$77:$E$88:$E$90:$E$101:$E$103:$E$114,"QA",J$38:J$49:J$51:J$62:J$64:J$75:J$77:J$88:J$90:J$101:J$103:J$114)</f>
        <v>997.02</v>
      </c>
      <c r="K115" s="33">
        <f>SUMIF($E$38:$E$49:$E$51:$E$62:$E$64:$E$75:$E$77:$E$88:$E$90:$E$101:$E$103:$E$114,"QA",K$38:K$49:K$51:K$62:K$64:K$75:K$77:K$88:K$90:K$101:K$103:K$114)</f>
        <v>737.45100000000002</v>
      </c>
      <c r="L115" s="33">
        <f>SUMIF($E$38:$E$49:$E$51:$E$62:$E$64:$E$75:$E$77:$E$88:$E$90:$E$101:$E$103:$E$114,"QA",L$38:L$49:L$51:L$62:L$64:L$75:L$77:L$88:L$90:L$101:L$103:L$114)</f>
        <v>15486.471</v>
      </c>
      <c r="M115" s="33">
        <f>SUMIF($E$38:$E$49:$E$51:$E$62:$E$64:$E$75:$E$77:$E$88:$E$90:$E$101:$E$103:$E$114,"QA",M$38:M$49:M$51:M$62:M$64:M$75:M$77:M$88:M$90:M$101:M$103:M$114)</f>
        <v>15486.471</v>
      </c>
      <c r="N115" s="33">
        <f>SUMIF($E$38:$E$49:$E$51:$E$62:$E$64:$E$75:$E$77:$E$88:$E$90:$E$101:$E$103:$E$114,"QA",N$38:N$49:N$51:N$62:N$64:N$75:N$77:N$88:N$90:N$101:N$103:N$114)</f>
        <v>15486.471</v>
      </c>
      <c r="O115" s="33">
        <f>SUMIF($E$38:$E$49:$E$51:$E$62:$E$64:$E$75:$E$77:$E$88:$E$90:$E$101:$E$103:$E$114,"QA",O$38:O$49:O$51:O$62:O$64:O$75:O$77:O$88:O$90:O$101:O$103:O$114)</f>
        <v>0</v>
      </c>
      <c r="P115" s="33">
        <f>SUMIF($E$38:$E$49:$E$51:$E$62:$E$64:$E$75:$E$77:$E$88:$E$90:$E$101:$E$103:$E$114,"QA",P$38:P$49:P$51:P$62:P$64:P$75:P$77:P$88:P$90:P$101:P$103:P$114)</f>
        <v>0</v>
      </c>
      <c r="Q115" s="33">
        <f>SUMIF($E$38:$E$49:$E$51:$E$62:$E$64:$E$75:$E$77:$E$88:$E$90:$E$101:$E$103:$E$114,"QA",Q$38:Q$49:Q$51:Q$62:Q$64:Q$75:Q$77:Q$88:Q$90:Q$101:Q$103:Q$114)</f>
        <v>0</v>
      </c>
      <c r="R115" s="33">
        <f>SUMIF($E$38:$E$49:$E$51:$E$62:$E$64:$E$75:$E$77:$E$88:$E$90:$E$101:$E$103:$E$114,"QA",R$38:R$49:R$51:R$62:R$64:R$75:R$77:R$88:R$90:R$101:R$103:R$114)</f>
        <v>0</v>
      </c>
      <c r="S115" s="33">
        <f>SUMIF($E$38:$E$49:$E$51:$E$62:$E$64:$E$75:$E$77:$E$88:$E$90:$E$101:$E$103:$E$114,"QA",S$38:S$49:S$51:S$62:S$64:S$75:S$77:S$88:S$90:S$101:S$103:S$114)</f>
        <v>0</v>
      </c>
      <c r="T115" s="33">
        <f>SUMIF($E$38:$E$49:$E$51:$E$62:$E$64:$E$75:$E$77:$E$88:$E$90:$E$101:$E$103:$E$114,"QA",T$38:T$49:T$51:T$62:T$64:T$75:T$77:T$88:T$90:T$101:T$103:T$114)</f>
        <v>0</v>
      </c>
      <c r="U115" s="33">
        <f>SUMIF($E$38:$E$49:$E$51:$E$62:$E$64:$E$75:$E$77:$E$88:$E$90:$E$101:$E$103:$E$114,"QA",U$38:U$49:U$51:U$62:U$64:U$75:U$77:U$88:U$90:U$101:U$103:U$114)</f>
        <v>0</v>
      </c>
      <c r="V115" s="33">
        <f>SUMIF($E$38:$E$49:$E$51:$E$62:$E$64:$E$75:$E$77:$E$88:$E$90:$E$101:$E$103:$E$114,"QA",V$38:V$49:V$51:V$62:V$64:V$75:V$77:V$88:V$90:V$101:V$103:V$114)</f>
        <v>0</v>
      </c>
      <c r="W115" s="33">
        <f>SUMIF($E$38:$E$49:$E$51:$E$62:$E$64:$E$75:$E$77:$E$88:$E$90:$E$101:$E$103:$E$114,"QA",W$38:W$49:W$51:W$62:W$64:W$75:W$77:W$88:W$90:W$101:W$103:W$114)</f>
        <v>0</v>
      </c>
      <c r="X115" s="33">
        <f>SUMIF($E$38:$E$49:$E$51:$E$62:$E$64:$E$75:$E$77:$E$88:$E$90:$E$101:$E$103:$E$114,"QA",X$38:X$49:X$51:X$62:X$64:X$75:X$77:X$88:X$90:X$101:X$103:X$114)</f>
        <v>0</v>
      </c>
      <c r="Y115" s="99">
        <f>SUMIF($E$38:$E$49:$E$51:$E$62:$E$64:$E$75:$E$77:$E$88:$E$90:$E$101:$E$103:$E$114,"QA",Y$38:Y$49:Y$51:Y$62:Y$64:Y$75:Y$77:Y$88:Y$90:Y$101:Y$103:Y$114)</f>
        <v>0</v>
      </c>
    </row>
    <row r="116" spans="1:25" s="18" customFormat="1" ht="15.5" x14ac:dyDescent="0.35">
      <c r="A116" s="1"/>
      <c r="B116" s="157" t="s">
        <v>117</v>
      </c>
      <c r="C116" s="216"/>
      <c r="D116" s="217"/>
      <c r="E116" s="34"/>
      <c r="F116" s="35"/>
      <c r="G116" s="36"/>
      <c r="H116" s="36">
        <f>SUMIF($E$38:$E$49:$E$51:$E$62:$E$64:$E$75:$E$77:$E$88:$E$90:$E$101:$E$103:$E$114,"PIP",H$38:H$49:H$51:H$62:H$64:H$75:H$77:H$88:H$90:H$101:H$103:H$114)</f>
        <v>2</v>
      </c>
      <c r="I116" s="36">
        <f>SUMIF($E$38:$E$49:$E$51:$E$62:$E$64:$E$75:$E$77:$E$88:$E$90:$E$101:$E$103:$E$114,"PIP",I$38:I$49:I$51:I$62:I$64:I$75:I$77:I$88:I$90:I$101:I$103:I$114)</f>
        <v>8002</v>
      </c>
      <c r="J116" s="36">
        <f>SUMIF($E$38:$E$49:$E$51:$E$62:$E$64:$E$75:$E$77:$E$88:$E$90:$E$101:$E$103:$E$114,"PIP",J$38:J$49:J$51:J$62:J$64:J$75:J$77:J$88:J$90:J$101:J$103:J$114)</f>
        <v>580.14499999999998</v>
      </c>
      <c r="K116" s="36">
        <f>SUMIF($E$38:$E$49:$E$51:$E$62:$E$64:$E$75:$E$77:$E$88:$E$90:$E$101:$E$103:$E$114,"PIP",K$38:K$49:K$51:K$62:K$64:K$75:K$77:K$88:K$90:K$101:K$103:K$114)</f>
        <v>429.10725000000008</v>
      </c>
      <c r="L116" s="36">
        <f>SUMIF($E$38:$E$49:$E$51:$E$62:$E$64:$E$75:$E$77:$E$88:$E$90:$E$101:$E$103:$E$114,"PIP",L$38:L$49:L$51:L$62:L$64:L$75:L$77:L$88:L$90:L$101:L$103:L$114)</f>
        <v>9011.2522500000014</v>
      </c>
      <c r="M116" s="36">
        <f>SUMIF($E$38:$E$49:$E$51:$E$62:$E$64:$E$75:$E$77:$E$88:$E$90:$E$101:$E$103:$E$114,"PIP",M$38:M$49:M$51:M$62:M$64:M$75:M$77:M$88:M$90:M$101:M$103:M$114)</f>
        <v>9011.2522500000014</v>
      </c>
      <c r="N116" s="36">
        <f>SUMIF($E$38:$E$49:$E$51:$E$62:$E$64:$E$75:$E$77:$E$88:$E$90:$E$101:$E$103:$E$114,"PIP",N$38:N$49:N$51:N$62:N$64:N$75:N$77:N$88:N$90:N$101:N$103:N$114)</f>
        <v>9011.2522500000014</v>
      </c>
      <c r="O116" s="36">
        <f>SUMIF($E$38:$E$49:$E$51:$E$62:$E$64:$E$75:$E$77:$E$88:$E$90:$E$101:$E$103:$E$114,"PIP",O$38:O$49:O$51:O$62:O$64:O$75:O$77:O$88:O$90:O$101:O$103:O$114)</f>
        <v>0</v>
      </c>
      <c r="P116" s="36">
        <f>SUMIF($E$38:$E$49:$E$51:$E$62:$E$64:$E$75:$E$77:$E$88:$E$90:$E$101:$E$103:$E$114,"PIP",P$38:P$49:P$51:P$62:P$64:P$75:P$77:P$88:P$90:P$101:P$103:P$114)</f>
        <v>0</v>
      </c>
      <c r="Q116" s="36">
        <f>SUMIF($E$38:$E$49:$E$51:$E$62:$E$64:$E$75:$E$77:$E$88:$E$90:$E$101:$E$103:$E$114,"PIP",Q$38:Q$49:Q$51:Q$62:Q$64:Q$75:Q$77:Q$88:Q$90:Q$101:Q$103:Q$114)</f>
        <v>0</v>
      </c>
      <c r="R116" s="36">
        <f>SUMIF($E$38:$E$49:$E$51:$E$62:$E$64:$E$75:$E$77:$E$88:$E$90:$E$101:$E$103:$E$114,"PIP",R$38:R$49:R$51:R$62:R$64:R$75:R$77:R$88:R$90:R$101:R$103:R$114)</f>
        <v>0</v>
      </c>
      <c r="S116" s="36">
        <f>SUMIF($E$38:$E$49:$E$51:$E$62:$E$64:$E$75:$E$77:$E$88:$E$90:$E$101:$E$103:$E$114,"PIP",S$38:S$49:S$51:S$62:S$64:S$75:S$77:S$88:S$90:S$101:S$103:S$114)</f>
        <v>0</v>
      </c>
      <c r="T116" s="36">
        <f>SUMIF($E$38:$E$49:$E$51:$E$62:$E$64:$E$75:$E$77:$E$88:$E$90:$E$101:$E$103:$E$114,"PIP",T$38:T$49:T$51:T$62:T$64:T$75:T$77:T$88:T$90:T$101:T$103:T$114)</f>
        <v>0</v>
      </c>
      <c r="U116" s="36">
        <f>SUMIF($E$38:$E$49:$E$51:$E$62:$E$64:$E$75:$E$77:$E$88:$E$90:$E$101:$E$103:$E$114,"PIP",U$38:U$49:U$51:U$62:U$64:U$75:U$77:U$88:U$90:U$101:U$103:U$114)</f>
        <v>0</v>
      </c>
      <c r="V116" s="36">
        <f>SUMIF($E$38:$E$49:$E$51:$E$62:$E$64:$E$75:$E$77:$E$88:$E$90:$E$101:$E$103:$E$114,"PIP",V$38:V$49:V$51:V$62:V$64:V$75:V$77:V$88:V$90:V$101:V$103:V$114)</f>
        <v>0</v>
      </c>
      <c r="W116" s="36">
        <f>SUMIF($E$38:$E$49:$E$51:$E$62:$E$64:$E$75:$E$77:$E$88:$E$90:$E$101:$E$103:$E$114,"PIP",W$38:W$49:W$51:W$62:W$64:W$75:W$77:W$88:W$90:W$101:W$103:W$114)</f>
        <v>0</v>
      </c>
      <c r="X116" s="36">
        <f>SUMIF($E$38:$E$49:$E$51:$E$62:$E$64:$E$75:$E$77:$E$88:$E$90:$E$101:$E$103:$E$114,"PIP",X$38:X$49:X$51:X$62:X$64:X$75:X$77:X$88:X$90:X$101:X$103:X$114)</f>
        <v>0</v>
      </c>
      <c r="Y116" s="100">
        <f>SUMIF($E$38:$E$49:$E$51:$E$62:$E$64:$E$75:$E$77:$E$88:$E$90:$E$101:$E$103:$E$114,"PIP",Y$38:Y$49:Y$51:Y$62:Y$64:Y$75:Y$77:Y$88:Y$90:Y$101:Y$103:Y$114)</f>
        <v>0</v>
      </c>
    </row>
    <row r="117" spans="1:25" s="18" customFormat="1" ht="15.5" x14ac:dyDescent="0.35">
      <c r="A117" s="1"/>
      <c r="B117" s="145" t="s">
        <v>114</v>
      </c>
      <c r="C117" s="218"/>
      <c r="D117" s="219"/>
      <c r="E117" s="37"/>
      <c r="F117" s="38"/>
      <c r="G117" s="39"/>
      <c r="H117" s="39">
        <f>SUMIF($E$38:$E$49:$E$51:$E$62:$E$64:$E$75:$E$77:$E$88:$E$90:$E$101:$E$103:$E$114,"PCA",H$38:H$49:H$51:H$62:H$64:H$75:H$77:H$88:H$90:H$101:H$103:H$114)</f>
        <v>1</v>
      </c>
      <c r="I117" s="39">
        <f>SUMIF($E$38:$E$49:$E$51:$E$62:$E$64:$E$75:$E$77:$E$88:$E$90:$E$101:$E$103:$E$114,"PCA",I$38:I$49:I$51:I$62:I$64:I$75:I$77:I$88:I$90:I$101:I$103:I$114)</f>
        <v>601</v>
      </c>
      <c r="J117" s="39">
        <f>SUMIF($E$38:$E$49:$E$51:$E$62:$E$64:$E$75:$E$77:$E$88:$E$90:$E$101:$E$103:$E$114,"PCA",J$38:J$49:J$51:J$62:J$64:J$75:J$77:J$88:J$90:J$101:J$103:J$114)</f>
        <v>43.572499999999998</v>
      </c>
      <c r="K117" s="39">
        <f>SUMIF($E$38:$E$49:$E$51:$E$62:$E$64:$E$75:$E$77:$E$88:$E$90:$E$101:$E$103:$E$114,"PCA",K$38:K$49:K$51:K$62:K$64:K$75:K$77:K$88:K$90:K$101:K$103:K$114)</f>
        <v>32.228625000000001</v>
      </c>
      <c r="L117" s="39">
        <f>SUMIF($E$38:$E$49:$E$51:$E$62:$E$64:$E$75:$E$77:$E$88:$E$90:$E$101:$E$103:$E$114,"PCA",L$38:L$49:L$51:L$62:L$64:L$75:L$77:L$88:L$90:L$101:L$103:L$114)</f>
        <v>676.80112499999996</v>
      </c>
      <c r="M117" s="39">
        <f>SUMIF($E$38:$E$49:$E$51:$E$62:$E$64:$E$75:$E$77:$E$88:$E$90:$E$101:$E$103:$E$114,"PCA",M$38:M$49:M$51:M$62:M$64:M$75:M$77:M$88:M$90:M$101:M$103:M$114)</f>
        <v>676.80112499999996</v>
      </c>
      <c r="N117" s="39">
        <f>SUMIF($E$38:$E$49:$E$51:$E$62:$E$64:$E$75:$E$77:$E$88:$E$90:$E$101:$E$103:$E$114,"PCA",N$38:N$49:N$51:N$62:N$64:N$75:N$77:N$88:N$90:N$101:N$103:N$114)</f>
        <v>676.80112499999996</v>
      </c>
      <c r="O117" s="39">
        <f>SUMIF($E$38:$E$49:$E$51:$E$62:$E$64:$E$75:$E$77:$E$88:$E$90:$E$101:$E$103:$E$114,"PCA",O$38:O$49:O$51:O$62:O$64:O$75:O$77:O$88:O$90:O$101:O$103:O$114)</f>
        <v>0</v>
      </c>
      <c r="P117" s="39">
        <f>SUMIF($E$38:$E$49:$E$51:$E$62:$E$64:$E$75:$E$77:$E$88:$E$90:$E$101:$E$103:$E$114,"PCA",P$38:P$49:P$51:P$62:P$64:P$75:P$77:P$88:P$90:P$101:P$103:P$114)</f>
        <v>0</v>
      </c>
      <c r="Q117" s="39">
        <f>SUMIF($E$38:$E$49:$E$51:$E$62:$E$64:$E$75:$E$77:$E$88:$E$90:$E$101:$E$103:$E$114,"PCA",Q$38:Q$49:Q$51:Q$62:Q$64:Q$75:Q$77:Q$88:Q$90:Q$101:Q$103:Q$114)</f>
        <v>0</v>
      </c>
      <c r="R117" s="39">
        <f>SUMIF($E$38:$E$49:$E$51:$E$62:$E$64:$E$75:$E$77:$E$88:$E$90:$E$101:$E$103:$E$114,"PCA",R$38:R$49:R$51:R$62:R$64:R$75:R$77:R$88:R$90:R$101:R$103:R$114)</f>
        <v>0</v>
      </c>
      <c r="S117" s="39">
        <f>SUMIF($E$38:$E$49:$E$51:$E$62:$E$64:$E$75:$E$77:$E$88:$E$90:$E$101:$E$103:$E$114,"PCA",S$38:S$49:S$51:S$62:S$64:S$75:S$77:S$88:S$90:S$101:S$103:S$114)</f>
        <v>0</v>
      </c>
      <c r="T117" s="39">
        <f>SUMIF($E$38:$E$49:$E$51:$E$62:$E$64:$E$75:$E$77:$E$88:$E$90:$E$101:$E$103:$E$114,"PCA",T$38:T$49:T$51:T$62:T$64:T$75:T$77:T$88:T$90:T$101:T$103:T$114)</f>
        <v>0</v>
      </c>
      <c r="U117" s="39">
        <f>SUMIF($E$38:$E$49:$E$51:$E$62:$E$64:$E$75:$E$77:$E$88:$E$90:$E$101:$E$103:$E$114,"PCA",U$38:U$49:U$51:U$62:U$64:U$75:U$77:U$88:U$90:U$101:U$103:U$114)</f>
        <v>0</v>
      </c>
      <c r="V117" s="39">
        <f>SUMIF($E$38:$E$49:$E$51:$E$62:$E$64:$E$75:$E$77:$E$88:$E$90:$E$101:$E$103:$E$114,"PCA",V$38:V$49:V$51:V$62:V$64:V$75:V$77:V$88:V$90:V$101:V$103:V$114)</f>
        <v>0</v>
      </c>
      <c r="W117" s="39">
        <f>SUMIF($E$38:$E$49:$E$51:$E$62:$E$64:$E$75:$E$77:$E$88:$E$90:$E$101:$E$103:$E$114,"PCA",W$38:W$49:W$51:W$62:W$64:W$75:W$77:W$88:W$90:W$101:W$103:W$114)</f>
        <v>0</v>
      </c>
      <c r="X117" s="39">
        <f>SUMIF($E$38:$E$49:$E$51:$E$62:$E$64:$E$75:$E$77:$E$88:$E$90:$E$101:$E$103:$E$114,"PCA",X$38:X$49:X$51:X$62:X$64:X$75:X$77:X$88:X$90:X$101:X$103:X$114)</f>
        <v>0</v>
      </c>
      <c r="Y117" s="101">
        <f>SUMIF($E$38:$E$49:$E$51:$E$62:$E$64:$E$75:$E$77:$E$88:$E$90:$E$101:$E$103:$E$114,"PCA",Y$38:Y$49:Y$51:Y$62:Y$64:Y$75:Y$77:Y$88:Y$90:Y$101:Y$103:Y$114)</f>
        <v>0</v>
      </c>
    </row>
    <row r="118" spans="1:25" s="18" customFormat="1" ht="15.5" x14ac:dyDescent="0.35">
      <c r="A118" s="1"/>
      <c r="B118" s="148" t="s">
        <v>115</v>
      </c>
      <c r="C118" s="203"/>
      <c r="D118" s="204"/>
      <c r="E118" s="40"/>
      <c r="F118" s="41"/>
      <c r="G118" s="42"/>
      <c r="H118" s="42">
        <f>SUMIF($E$38:$E$49:$E$51:$E$62:$E$64:$E$75:$E$77:$E$88:$E$90:$E$101:$E$103:$E$114,"Other",H$38:H$49:H$51:H$62:H$64:H$75:H$77:H$88:H$90:H$101:H$103:H$114)</f>
        <v>1</v>
      </c>
      <c r="I118" s="42">
        <f>SUMIF($E$38:$E$49:$E$51:$E$62:$E$64:$E$75:$E$77:$E$88:$E$90:$E$101:$E$103:$E$114,"Other",I$38:I$49:I$51:I$62:I$64:I$75:I$77:I$88:I$90:I$101:I$103:I$114)</f>
        <v>6001</v>
      </c>
      <c r="J118" s="42">
        <f>SUMIF($E$38:$E$49:$E$51:$E$62:$E$64:$E$75:$E$77:$E$88:$E$90:$E$101:$E$103:$E$114,"Other",J$38:J$49:J$51:J$62:J$64:J$75:J$77:J$88:J$90:J$101:J$103:J$114)</f>
        <v>435.07249999999999</v>
      </c>
      <c r="K118" s="42">
        <f>SUMIF($E$38:$E$49:$E$51:$E$62:$E$64:$E$75:$E$77:$E$88:$E$90:$E$101:$E$103:$E$114,"Other",K$38:K$49:K$51:K$62:K$64:K$75:K$77:K$88:K$90:K$101:K$103:K$114)</f>
        <v>321.80362500000001</v>
      </c>
      <c r="L118" s="42">
        <f>SUMIF($E$38:$E$49:$E$51:$E$62:$E$64:$E$75:$E$77:$E$88:$E$90:$E$101:$E$103:$E$114,"Other",L$38:L$49:L$51:L$62:L$64:L$75:L$77:L$88:L$90:L$101:L$103:L$114)</f>
        <v>6757.8761250000007</v>
      </c>
      <c r="M118" s="42">
        <f>SUMIF($E$38:$E$49:$E$51:$E$62:$E$64:$E$75:$E$77:$E$88:$E$90:$E$101:$E$103:$E$114,"Other",M$38:M$49:M$51:M$62:M$64:M$75:M$77:M$88:M$90:M$101:M$103:M$114)</f>
        <v>6757.8761250000007</v>
      </c>
      <c r="N118" s="42">
        <f>SUMIF($E$38:$E$49:$E$51:$E$62:$E$64:$E$75:$E$77:$E$88:$E$90:$E$101:$E$103:$E$114,"Other",N$38:N$49:N$51:N$62:N$64:N$75:N$77:N$88:N$90:N$101:N$103:N$114)</f>
        <v>6757.8761250000007</v>
      </c>
      <c r="O118" s="42">
        <f>SUMIF($E$38:$E$49:$E$51:$E$62:$E$64:$E$75:$E$77:$E$88:$E$90:$E$101:$E$103:$E$114,"Other",O$38:O$49:O$51:O$62:O$64:O$75:O$77:O$88:O$90:O$101:O$103:O$114)</f>
        <v>0</v>
      </c>
      <c r="P118" s="42">
        <f>SUMIF($E$38:$E$49:$E$51:$E$62:$E$64:$E$75:$E$77:$E$88:$E$90:$E$101:$E$103:$E$114,"Other",P$38:P$49:P$51:P$62:P$64:P$75:P$77:P$88:P$90:P$101:P$103:P$114)</f>
        <v>0</v>
      </c>
      <c r="Q118" s="42">
        <f>SUMIF($E$38:$E$49:$E$51:$E$62:$E$64:$E$75:$E$77:$E$88:$E$90:$E$101:$E$103:$E$114,"Other",Q$38:Q$49:Q$51:Q$62:Q$64:Q$75:Q$77:Q$88:Q$90:Q$101:Q$103:Q$114)</f>
        <v>0</v>
      </c>
      <c r="R118" s="42">
        <f>SUMIF($E$38:$E$49:$E$51:$E$62:$E$64:$E$75:$E$77:$E$88:$E$90:$E$101:$E$103:$E$114,"Other",R$38:R$49:R$51:R$62:R$64:R$75:R$77:R$88:R$90:R$101:R$103:R$114)</f>
        <v>0</v>
      </c>
      <c r="S118" s="42">
        <f>SUMIF($E$38:$E$49:$E$51:$E$62:$E$64:$E$75:$E$77:$E$88:$E$90:$E$101:$E$103:$E$114,"Other",S$38:S$49:S$51:S$62:S$64:S$75:S$77:S$88:S$90:S$101:S$103:S$114)</f>
        <v>0</v>
      </c>
      <c r="T118" s="42">
        <f>SUMIF($E$38:$E$49:$E$51:$E$62:$E$64:$E$75:$E$77:$E$88:$E$90:$E$101:$E$103:$E$114,"Other",T$38:T$49:T$51:T$62:T$64:T$75:T$77:T$88:T$90:T$101:T$103:T$114)</f>
        <v>0</v>
      </c>
      <c r="U118" s="42">
        <f>SUMIF($E$38:$E$49:$E$51:$E$62:$E$64:$E$75:$E$77:$E$88:$E$90:$E$101:$E$103:$E$114,"Other",U$38:U$49:U$51:U$62:U$64:U$75:U$77:U$88:U$90:U$101:U$103:U$114)</f>
        <v>0</v>
      </c>
      <c r="V118" s="42">
        <f>SUMIF($E$38:$E$49:$E$51:$E$62:$E$64:$E$75:$E$77:$E$88:$E$90:$E$101:$E$103:$E$114,"Other",V$38:V$49:V$51:V$62:V$64:V$75:V$77:V$88:V$90:V$101:V$103:V$114)</f>
        <v>0</v>
      </c>
      <c r="W118" s="42">
        <f>SUMIF($E$38:$E$49:$E$51:$E$62:$E$64:$E$75:$E$77:$E$88:$E$90:$E$101:$E$103:$E$114,"Other",W$38:W$49:W$51:W$62:W$64:W$75:W$77:W$88:W$90:W$101:W$103:W$114)</f>
        <v>0</v>
      </c>
      <c r="X118" s="42">
        <f>SUMIF($E$38:$E$49:$E$51:$E$62:$E$64:$E$75:$E$77:$E$88:$E$90:$E$101:$E$103:$E$114,"Other",X$38:X$49:X$51:X$62:X$64:X$75:X$77:X$88:X$90:X$101:X$103:X$114)</f>
        <v>0</v>
      </c>
      <c r="Y118" s="102">
        <f>SUMIF($E$38:$E$49:$E$51:$E$62:$E$64:$E$75:$E$77:$E$88:$E$90:$E$101:$E$103:$E$114,"Other",Y$38:Y$49:Y$51:Y$62:Y$64:Y$75:Y$77:Y$88:Y$90:Y$101:Y$103:Y$114)</f>
        <v>0</v>
      </c>
    </row>
    <row r="119" spans="1:25" s="18" customFormat="1" ht="15.5" x14ac:dyDescent="0.35">
      <c r="A119" s="1"/>
      <c r="B119" s="151" t="s">
        <v>116</v>
      </c>
      <c r="C119" s="214"/>
      <c r="D119" s="215"/>
      <c r="E119" s="13"/>
      <c r="F119" s="14"/>
      <c r="G119" s="15"/>
      <c r="H119" s="15">
        <f t="shared" ref="H119:Y119" si="75">H37+H50+H63+H76+H89+H102</f>
        <v>6</v>
      </c>
      <c r="I119" s="15">
        <f t="shared" si="75"/>
        <v>28356</v>
      </c>
      <c r="J119" s="15">
        <f t="shared" si="75"/>
        <v>2055.81</v>
      </c>
      <c r="K119" s="15">
        <f t="shared" si="75"/>
        <v>1520.5905</v>
      </c>
      <c r="L119" s="15">
        <f t="shared" si="75"/>
        <v>31932.400499999996</v>
      </c>
      <c r="M119" s="15">
        <f t="shared" si="75"/>
        <v>31932.400499999996</v>
      </c>
      <c r="N119" s="15">
        <f t="shared" si="75"/>
        <v>31932.400499999996</v>
      </c>
      <c r="O119" s="15">
        <f t="shared" si="75"/>
        <v>0</v>
      </c>
      <c r="P119" s="15">
        <f t="shared" si="75"/>
        <v>0</v>
      </c>
      <c r="Q119" s="15">
        <f t="shared" si="75"/>
        <v>0</v>
      </c>
      <c r="R119" s="15">
        <f t="shared" si="75"/>
        <v>0</v>
      </c>
      <c r="S119" s="15">
        <f t="shared" si="75"/>
        <v>0</v>
      </c>
      <c r="T119" s="15">
        <f t="shared" si="75"/>
        <v>0</v>
      </c>
      <c r="U119" s="15">
        <f t="shared" si="75"/>
        <v>0</v>
      </c>
      <c r="V119" s="15">
        <f t="shared" si="75"/>
        <v>0</v>
      </c>
      <c r="W119" s="15">
        <f t="shared" si="75"/>
        <v>0</v>
      </c>
      <c r="X119" s="15">
        <f t="shared" si="75"/>
        <v>0</v>
      </c>
      <c r="Y119" s="103">
        <f t="shared" si="75"/>
        <v>0</v>
      </c>
    </row>
    <row r="120" spans="1:25" s="18" customFormat="1" ht="15.5" x14ac:dyDescent="0.35">
      <c r="A120" s="1"/>
      <c r="B120" s="104" t="s">
        <v>104</v>
      </c>
      <c r="C120" s="43"/>
      <c r="D120" s="44" t="s">
        <v>134</v>
      </c>
      <c r="E120" s="45">
        <v>0.1</v>
      </c>
      <c r="F120" s="208" t="str">
        <f>IF(D120="Method - $ per Key","Per Key",IF(D19="Method - $ Allowance","Total",""))</f>
        <v/>
      </c>
      <c r="G120" s="209"/>
      <c r="H120" s="46" t="s">
        <v>9</v>
      </c>
      <c r="I120" s="205"/>
      <c r="J120" s="206"/>
      <c r="K120" s="207"/>
      <c r="L120" s="47">
        <f>$E$120*L119</f>
        <v>3193.2400499999999</v>
      </c>
      <c r="M120" s="47">
        <f t="shared" ref="M120:Y120" si="76">$E$120*M119</f>
        <v>3193.2400499999999</v>
      </c>
      <c r="N120" s="63">
        <f t="shared" si="76"/>
        <v>3193.2400499999999</v>
      </c>
      <c r="O120" s="63">
        <f t="shared" si="76"/>
        <v>0</v>
      </c>
      <c r="P120" s="63">
        <f t="shared" si="76"/>
        <v>0</v>
      </c>
      <c r="Q120" s="63">
        <f t="shared" si="76"/>
        <v>0</v>
      </c>
      <c r="R120" s="63">
        <f t="shared" si="76"/>
        <v>0</v>
      </c>
      <c r="S120" s="63">
        <f t="shared" si="76"/>
        <v>0</v>
      </c>
      <c r="T120" s="63">
        <f t="shared" si="76"/>
        <v>0</v>
      </c>
      <c r="U120" s="63">
        <f t="shared" si="76"/>
        <v>0</v>
      </c>
      <c r="V120" s="63">
        <f t="shared" si="76"/>
        <v>0</v>
      </c>
      <c r="W120" s="63">
        <f t="shared" si="76"/>
        <v>0</v>
      </c>
      <c r="X120" s="63">
        <f t="shared" si="76"/>
        <v>0</v>
      </c>
      <c r="Y120" s="109">
        <f t="shared" si="76"/>
        <v>0</v>
      </c>
    </row>
    <row r="121" spans="1:25" s="18" customFormat="1" ht="16" thickBot="1" x14ac:dyDescent="0.4">
      <c r="A121" s="1"/>
      <c r="B121" s="142" t="s">
        <v>109</v>
      </c>
      <c r="C121" s="143"/>
      <c r="D121" s="144"/>
      <c r="E121" s="106"/>
      <c r="F121" s="210"/>
      <c r="G121" s="211"/>
      <c r="H121" s="16">
        <f>H119</f>
        <v>6</v>
      </c>
      <c r="I121" s="107">
        <f>I119</f>
        <v>28356</v>
      </c>
      <c r="J121" s="107">
        <f>J119</f>
        <v>2055.81</v>
      </c>
      <c r="K121" s="107">
        <f>K119</f>
        <v>1520.5905</v>
      </c>
      <c r="L121" s="107">
        <f>SUM(L119:L120)</f>
        <v>35125.640549999996</v>
      </c>
      <c r="M121" s="107">
        <f t="shared" ref="M121:Y121" si="77">SUM(M119:M120)</f>
        <v>35125.640549999996</v>
      </c>
      <c r="N121" s="16">
        <f t="shared" si="77"/>
        <v>35125.640549999996</v>
      </c>
      <c r="O121" s="16">
        <f t="shared" si="77"/>
        <v>0</v>
      </c>
      <c r="P121" s="16">
        <f t="shared" si="77"/>
        <v>0</v>
      </c>
      <c r="Q121" s="16">
        <f t="shared" si="77"/>
        <v>0</v>
      </c>
      <c r="R121" s="16">
        <f t="shared" si="77"/>
        <v>0</v>
      </c>
      <c r="S121" s="16">
        <f t="shared" si="77"/>
        <v>0</v>
      </c>
      <c r="T121" s="16">
        <f t="shared" si="77"/>
        <v>0</v>
      </c>
      <c r="U121" s="16">
        <f t="shared" si="77"/>
        <v>0</v>
      </c>
      <c r="V121" s="16">
        <f t="shared" si="77"/>
        <v>0</v>
      </c>
      <c r="W121" s="16">
        <f t="shared" si="77"/>
        <v>0</v>
      </c>
      <c r="X121" s="16">
        <f t="shared" si="77"/>
        <v>0</v>
      </c>
      <c r="Y121" s="108">
        <f t="shared" si="77"/>
        <v>0</v>
      </c>
    </row>
    <row r="122" spans="1:25" s="18" customFormat="1" ht="14.25" customHeight="1" x14ac:dyDescent="0.35">
      <c r="A122" s="1"/>
      <c r="B122" s="25"/>
      <c r="C122" s="25"/>
      <c r="D122" s="25"/>
      <c r="E122" s="25"/>
      <c r="F122" s="19"/>
      <c r="G122" s="20"/>
      <c r="H122" s="26"/>
      <c r="I122" s="27"/>
      <c r="J122" s="27"/>
      <c r="K122" s="27"/>
      <c r="L122" s="27"/>
      <c r="M122" s="27"/>
      <c r="N122" s="27"/>
      <c r="O122" s="27"/>
      <c r="P122" s="27"/>
      <c r="Q122" s="27"/>
      <c r="R122" s="27"/>
      <c r="S122" s="27"/>
      <c r="T122" s="27"/>
      <c r="U122" s="27"/>
      <c r="V122" s="27"/>
      <c r="W122" s="27"/>
      <c r="X122" s="27"/>
      <c r="Y122" s="27"/>
    </row>
    <row r="123" spans="1:25" s="18" customFormat="1" ht="14.25" customHeight="1" x14ac:dyDescent="0.35">
      <c r="A123" s="1"/>
      <c r="F123" s="19"/>
      <c r="G123" s="20"/>
      <c r="H123" s="26"/>
      <c r="I123" s="27"/>
      <c r="J123" s="27"/>
      <c r="K123" s="27"/>
      <c r="L123" s="27"/>
      <c r="M123" s="27"/>
      <c r="N123" s="27"/>
      <c r="O123" s="27"/>
      <c r="P123" s="27"/>
      <c r="Q123" s="27"/>
      <c r="R123" s="27"/>
      <c r="S123" s="27"/>
      <c r="T123" s="27"/>
      <c r="U123" s="27"/>
      <c r="V123" s="27"/>
      <c r="W123" s="27"/>
      <c r="X123" s="27"/>
      <c r="Y123" s="27"/>
    </row>
    <row r="124" spans="1:25" s="18" customFormat="1" ht="14.25" customHeight="1" x14ac:dyDescent="0.35">
      <c r="A124" s="1"/>
      <c r="F124" s="19"/>
      <c r="G124" s="20"/>
      <c r="H124" s="26"/>
      <c r="I124" s="27"/>
      <c r="J124" s="27"/>
      <c r="K124" s="27"/>
      <c r="L124" s="27"/>
      <c r="M124" s="27"/>
      <c r="N124" s="27"/>
      <c r="O124" s="27"/>
      <c r="P124" s="27"/>
      <c r="Q124" s="27"/>
      <c r="R124" s="27"/>
      <c r="S124" s="27"/>
      <c r="T124" s="27"/>
      <c r="U124" s="27"/>
      <c r="V124" s="27"/>
      <c r="W124" s="27"/>
      <c r="X124" s="27"/>
      <c r="Y124" s="27"/>
    </row>
    <row r="125" spans="1:25" s="18" customFormat="1" ht="14.25" customHeight="1" x14ac:dyDescent="0.35">
      <c r="A125" s="1"/>
      <c r="F125" s="19"/>
      <c r="G125" s="20"/>
      <c r="H125" s="26"/>
      <c r="I125" s="27"/>
      <c r="J125" s="27"/>
      <c r="K125" s="27"/>
      <c r="L125" s="27"/>
      <c r="M125" s="27"/>
      <c r="N125" s="27"/>
      <c r="O125" s="27"/>
      <c r="P125" s="27"/>
      <c r="Q125" s="27"/>
      <c r="R125" s="27"/>
      <c r="S125" s="27"/>
      <c r="T125" s="27"/>
      <c r="U125" s="27"/>
      <c r="V125" s="27"/>
      <c r="W125" s="27"/>
      <c r="X125" s="27"/>
      <c r="Y125" s="27"/>
    </row>
    <row r="126" spans="1:25" s="18" customFormat="1" ht="14.25" customHeight="1" x14ac:dyDescent="0.35">
      <c r="A126" s="1"/>
      <c r="F126" s="19"/>
      <c r="G126" s="20"/>
      <c r="H126" s="26"/>
      <c r="I126" s="27"/>
      <c r="J126" s="27"/>
      <c r="K126" s="27"/>
      <c r="L126" s="27"/>
      <c r="M126" s="27"/>
      <c r="N126" s="27"/>
      <c r="O126" s="27"/>
      <c r="P126" s="27"/>
      <c r="Q126" s="27"/>
      <c r="R126" s="27"/>
      <c r="S126" s="27"/>
      <c r="T126" s="27"/>
      <c r="U126" s="27"/>
      <c r="V126" s="27"/>
      <c r="W126" s="27"/>
      <c r="X126" s="27"/>
      <c r="Y126" s="27"/>
    </row>
    <row r="127" spans="1:25" s="18" customFormat="1" ht="14.25" customHeight="1" x14ac:dyDescent="0.35">
      <c r="A127" s="1"/>
      <c r="F127" s="19"/>
      <c r="G127" s="20"/>
      <c r="H127" s="26"/>
      <c r="I127" s="27"/>
      <c r="J127" s="27"/>
      <c r="K127" s="27"/>
      <c r="L127" s="27"/>
      <c r="M127" s="27"/>
      <c r="N127" s="27"/>
      <c r="O127" s="27"/>
      <c r="P127" s="27"/>
      <c r="Q127" s="27"/>
      <c r="R127" s="27"/>
      <c r="S127" s="27"/>
      <c r="T127" s="27"/>
      <c r="U127" s="27"/>
      <c r="V127" s="27"/>
      <c r="W127" s="27"/>
      <c r="X127" s="27"/>
      <c r="Y127" s="27"/>
    </row>
    <row r="128" spans="1:25" s="18" customFormat="1" ht="14.25" customHeight="1" x14ac:dyDescent="0.35">
      <c r="A128" s="1"/>
      <c r="F128" s="19"/>
      <c r="G128" s="20"/>
      <c r="H128" s="26"/>
      <c r="I128" s="27"/>
      <c r="J128" s="27"/>
      <c r="K128" s="27"/>
      <c r="L128" s="27"/>
      <c r="M128" s="27"/>
      <c r="N128" s="27"/>
      <c r="O128" s="27"/>
      <c r="P128" s="27"/>
      <c r="Q128" s="27"/>
      <c r="R128" s="27"/>
      <c r="S128" s="27"/>
      <c r="T128" s="27"/>
      <c r="U128" s="27"/>
      <c r="V128" s="27"/>
      <c r="W128" s="27"/>
      <c r="X128" s="27"/>
      <c r="Y128" s="27"/>
    </row>
    <row r="129" spans="1:25" s="18" customFormat="1" ht="14.25" customHeight="1" x14ac:dyDescent="0.35">
      <c r="A129" s="1"/>
      <c r="F129" s="19"/>
      <c r="G129" s="20"/>
      <c r="H129" s="26"/>
      <c r="I129" s="27"/>
      <c r="J129" s="27"/>
      <c r="K129" s="27"/>
      <c r="L129" s="27"/>
      <c r="M129" s="27"/>
      <c r="N129" s="27"/>
      <c r="O129" s="27"/>
      <c r="P129" s="27"/>
      <c r="Q129" s="27"/>
      <c r="R129" s="27"/>
      <c r="S129" s="27"/>
      <c r="T129" s="27"/>
      <c r="U129" s="27"/>
      <c r="V129" s="27"/>
      <c r="W129" s="27"/>
      <c r="X129" s="27"/>
      <c r="Y129" s="27"/>
    </row>
    <row r="130" spans="1:25" s="18" customFormat="1" ht="14.25" customHeight="1" x14ac:dyDescent="0.35">
      <c r="A130" s="1"/>
      <c r="F130" s="19"/>
      <c r="G130" s="20"/>
      <c r="H130" s="26"/>
      <c r="I130" s="26"/>
      <c r="J130" s="26"/>
      <c r="K130" s="26"/>
      <c r="L130" s="26"/>
      <c r="M130" s="26"/>
      <c r="N130" s="26"/>
      <c r="O130" s="26"/>
      <c r="P130" s="26"/>
      <c r="Q130" s="26"/>
      <c r="R130" s="26"/>
      <c r="S130" s="26"/>
      <c r="T130" s="26"/>
      <c r="U130" s="26"/>
      <c r="V130" s="26"/>
      <c r="W130" s="26"/>
      <c r="X130" s="26"/>
      <c r="Y130" s="26"/>
    </row>
    <row r="131" spans="1:25" s="18" customFormat="1" ht="14.25" customHeight="1" x14ac:dyDescent="0.35">
      <c r="F131" s="19"/>
      <c r="G131" s="20"/>
      <c r="H131" s="26"/>
      <c r="I131" s="26"/>
      <c r="J131" s="26"/>
      <c r="K131" s="26"/>
      <c r="L131" s="26"/>
      <c r="M131" s="26"/>
      <c r="N131" s="26"/>
      <c r="O131" s="26"/>
      <c r="P131" s="26"/>
      <c r="Q131" s="26"/>
      <c r="R131" s="26"/>
      <c r="S131" s="26"/>
      <c r="T131" s="26"/>
      <c r="U131" s="26"/>
      <c r="V131" s="26"/>
      <c r="W131" s="26"/>
      <c r="X131" s="26"/>
      <c r="Y131" s="26"/>
    </row>
    <row r="132" spans="1:25" s="18" customFormat="1" ht="14.25" customHeight="1" x14ac:dyDescent="0.35">
      <c r="F132" s="19"/>
      <c r="G132" s="20"/>
      <c r="H132" s="26"/>
      <c r="I132" s="26"/>
      <c r="J132" s="26"/>
      <c r="K132" s="26"/>
      <c r="L132" s="26"/>
      <c r="M132" s="26"/>
      <c r="N132" s="26"/>
      <c r="O132" s="26"/>
      <c r="P132" s="26"/>
      <c r="Q132" s="26"/>
      <c r="R132" s="26"/>
      <c r="S132" s="26"/>
      <c r="T132" s="26"/>
      <c r="U132" s="26"/>
      <c r="V132" s="26"/>
      <c r="W132" s="26"/>
      <c r="X132" s="26"/>
      <c r="Y132" s="26"/>
    </row>
    <row r="133" spans="1:25" s="18" customFormat="1" ht="14.25" customHeight="1" x14ac:dyDescent="0.35">
      <c r="F133" s="19"/>
      <c r="G133" s="20"/>
      <c r="H133" s="26"/>
      <c r="I133" s="26"/>
      <c r="J133" s="26"/>
      <c r="K133" s="26"/>
      <c r="L133" s="26"/>
      <c r="M133" s="26"/>
      <c r="N133" s="26"/>
      <c r="O133" s="26"/>
      <c r="P133" s="26"/>
      <c r="Q133" s="26"/>
      <c r="R133" s="26"/>
      <c r="S133" s="26"/>
      <c r="T133" s="26"/>
      <c r="U133" s="26"/>
      <c r="V133" s="26"/>
      <c r="W133" s="26"/>
      <c r="X133" s="26"/>
      <c r="Y133" s="26"/>
    </row>
    <row r="134" spans="1:25" s="18" customFormat="1" ht="14.25" customHeight="1" x14ac:dyDescent="0.35">
      <c r="F134" s="19"/>
      <c r="G134" s="20"/>
    </row>
    <row r="135" spans="1:25" s="18" customFormat="1" ht="14.25" customHeight="1" x14ac:dyDescent="0.35">
      <c r="F135" s="19"/>
      <c r="G135" s="20"/>
    </row>
    <row r="136" spans="1:25" s="18" customFormat="1" ht="14.25" customHeight="1" x14ac:dyDescent="0.35">
      <c r="F136" s="19"/>
      <c r="G136" s="20"/>
    </row>
    <row r="137" spans="1:25" s="18" customFormat="1" ht="14.25" customHeight="1" x14ac:dyDescent="0.35">
      <c r="F137" s="19"/>
      <c r="G137" s="20"/>
    </row>
    <row r="138" spans="1:25" s="18" customFormat="1" ht="14.25" customHeight="1" x14ac:dyDescent="0.35">
      <c r="F138" s="19"/>
      <c r="G138" s="20"/>
    </row>
    <row r="139" spans="1:25" s="18" customFormat="1" ht="14.25" customHeight="1" x14ac:dyDescent="0.35">
      <c r="F139" s="19"/>
      <c r="G139" s="20"/>
    </row>
    <row r="140" spans="1:25" s="18" customFormat="1" ht="14.25" customHeight="1" x14ac:dyDescent="0.35">
      <c r="F140" s="19"/>
      <c r="G140" s="20"/>
    </row>
    <row r="141" spans="1:25" s="18" customFormat="1" ht="14.25" customHeight="1" x14ac:dyDescent="0.35">
      <c r="F141" s="19"/>
      <c r="G141" s="20"/>
    </row>
    <row r="142" spans="1:25" s="18" customFormat="1" ht="14.25" customHeight="1" x14ac:dyDescent="0.35">
      <c r="F142" s="19"/>
      <c r="G142" s="20"/>
    </row>
    <row r="143" spans="1:25" s="18" customFormat="1" ht="14.25" customHeight="1" x14ac:dyDescent="0.35">
      <c r="F143" s="19"/>
      <c r="G143" s="20"/>
    </row>
    <row r="144" spans="1:25" s="18" customFormat="1" ht="14.25" customHeight="1" x14ac:dyDescent="0.35">
      <c r="F144" s="19"/>
      <c r="G144" s="20"/>
    </row>
    <row r="145" spans="6:7" s="18" customFormat="1" ht="14.25" customHeight="1" x14ac:dyDescent="0.35">
      <c r="F145" s="19"/>
      <c r="G145" s="20"/>
    </row>
    <row r="146" spans="6:7" s="18" customFormat="1" ht="14.25" customHeight="1" x14ac:dyDescent="0.35">
      <c r="F146" s="19"/>
      <c r="G146" s="20"/>
    </row>
    <row r="147" spans="6:7" s="18" customFormat="1" ht="14.25" customHeight="1" x14ac:dyDescent="0.35">
      <c r="F147" s="19"/>
      <c r="G147" s="20"/>
    </row>
    <row r="148" spans="6:7" s="18" customFormat="1" ht="14.25" customHeight="1" x14ac:dyDescent="0.35">
      <c r="F148" s="19"/>
      <c r="G148" s="20"/>
    </row>
    <row r="149" spans="6:7" s="18" customFormat="1" ht="14.25" customHeight="1" x14ac:dyDescent="0.35">
      <c r="F149" s="19"/>
      <c r="G149" s="20"/>
    </row>
    <row r="150" spans="6:7" s="18" customFormat="1" ht="14.25" customHeight="1" x14ac:dyDescent="0.35">
      <c r="F150" s="19"/>
      <c r="G150" s="20"/>
    </row>
    <row r="151" spans="6:7" s="18" customFormat="1" ht="14.25" customHeight="1" x14ac:dyDescent="0.35">
      <c r="F151" s="19"/>
      <c r="G151" s="20"/>
    </row>
    <row r="152" spans="6:7" s="18" customFormat="1" ht="14.25" customHeight="1" x14ac:dyDescent="0.35">
      <c r="F152" s="19"/>
      <c r="G152" s="20"/>
    </row>
    <row r="153" spans="6:7" s="18" customFormat="1" ht="14.25" customHeight="1" x14ac:dyDescent="0.35">
      <c r="F153" s="19"/>
      <c r="G153" s="20"/>
    </row>
    <row r="154" spans="6:7" s="18" customFormat="1" ht="14.25" customHeight="1" x14ac:dyDescent="0.35">
      <c r="F154" s="19"/>
      <c r="G154" s="20"/>
    </row>
    <row r="155" spans="6:7" s="18" customFormat="1" ht="14.25" customHeight="1" x14ac:dyDescent="0.35">
      <c r="F155" s="19"/>
      <c r="G155" s="20"/>
    </row>
    <row r="156" spans="6:7" s="18" customFormat="1" ht="14.25" customHeight="1" x14ac:dyDescent="0.35">
      <c r="F156" s="19"/>
      <c r="G156" s="20"/>
    </row>
    <row r="157" spans="6:7" s="18" customFormat="1" ht="14.25" customHeight="1" x14ac:dyDescent="0.35">
      <c r="F157" s="19"/>
      <c r="G157" s="20"/>
    </row>
    <row r="158" spans="6:7" s="18" customFormat="1" ht="14.25" customHeight="1" x14ac:dyDescent="0.35">
      <c r="F158" s="19"/>
      <c r="G158" s="20"/>
    </row>
    <row r="159" spans="6:7" s="18" customFormat="1" ht="14.25" customHeight="1" x14ac:dyDescent="0.35">
      <c r="F159" s="19"/>
      <c r="G159" s="20"/>
    </row>
    <row r="160" spans="6:7" s="18" customFormat="1" ht="14.25" customHeight="1" x14ac:dyDescent="0.35">
      <c r="F160" s="19"/>
      <c r="G160" s="20"/>
    </row>
    <row r="161" spans="6:7" s="18" customFormat="1" ht="14.25" customHeight="1" x14ac:dyDescent="0.35">
      <c r="F161" s="19"/>
      <c r="G161" s="20"/>
    </row>
    <row r="162" spans="6:7" s="18" customFormat="1" ht="14.25" customHeight="1" x14ac:dyDescent="0.35">
      <c r="F162" s="19"/>
      <c r="G162" s="20"/>
    </row>
    <row r="163" spans="6:7" s="18" customFormat="1" ht="14.25" customHeight="1" x14ac:dyDescent="0.35">
      <c r="F163" s="19"/>
      <c r="G163" s="20"/>
    </row>
    <row r="164" spans="6:7" s="18" customFormat="1" ht="14.25" customHeight="1" x14ac:dyDescent="0.35">
      <c r="F164" s="19"/>
      <c r="G164" s="20"/>
    </row>
    <row r="165" spans="6:7" s="18" customFormat="1" ht="14.25" customHeight="1" x14ac:dyDescent="0.35">
      <c r="F165" s="19"/>
      <c r="G165" s="20"/>
    </row>
    <row r="166" spans="6:7" s="18" customFormat="1" ht="14.25" customHeight="1" x14ac:dyDescent="0.35">
      <c r="F166" s="19"/>
      <c r="G166" s="20"/>
    </row>
    <row r="167" spans="6:7" s="18" customFormat="1" ht="14.25" customHeight="1" x14ac:dyDescent="0.35">
      <c r="F167" s="19"/>
      <c r="G167" s="20"/>
    </row>
    <row r="168" spans="6:7" s="18" customFormat="1" ht="14.25" customHeight="1" x14ac:dyDescent="0.35">
      <c r="F168" s="19"/>
      <c r="G168" s="20"/>
    </row>
    <row r="169" spans="6:7" s="18" customFormat="1" ht="14.25" customHeight="1" x14ac:dyDescent="0.35">
      <c r="F169" s="19"/>
      <c r="G169" s="20"/>
    </row>
    <row r="170" spans="6:7" s="18" customFormat="1" ht="14.25" customHeight="1" x14ac:dyDescent="0.35">
      <c r="F170" s="19"/>
      <c r="G170" s="20"/>
    </row>
    <row r="171" spans="6:7" s="18" customFormat="1" ht="14.25" customHeight="1" x14ac:dyDescent="0.35">
      <c r="F171" s="19"/>
      <c r="G171" s="20"/>
    </row>
    <row r="172" spans="6:7" s="18" customFormat="1" ht="14.25" customHeight="1" x14ac:dyDescent="0.35">
      <c r="F172" s="19"/>
      <c r="G172" s="20"/>
    </row>
    <row r="173" spans="6:7" s="18" customFormat="1" ht="14.25" customHeight="1" x14ac:dyDescent="0.35">
      <c r="F173" s="19"/>
      <c r="G173" s="20"/>
    </row>
    <row r="174" spans="6:7" s="18" customFormat="1" ht="14.25" customHeight="1" x14ac:dyDescent="0.35">
      <c r="F174" s="19"/>
      <c r="G174" s="20"/>
    </row>
    <row r="175" spans="6:7" s="18" customFormat="1" ht="14.25" customHeight="1" x14ac:dyDescent="0.35">
      <c r="F175" s="19"/>
      <c r="G175" s="20"/>
    </row>
    <row r="176" spans="6:7" s="18" customFormat="1" ht="14.25" customHeight="1" x14ac:dyDescent="0.35">
      <c r="F176" s="19"/>
      <c r="G176" s="20"/>
    </row>
    <row r="177" spans="6:7" s="18" customFormat="1" ht="14.25" customHeight="1" x14ac:dyDescent="0.35">
      <c r="F177" s="19"/>
      <c r="G177" s="20"/>
    </row>
    <row r="178" spans="6:7" s="18" customFormat="1" ht="14.25" customHeight="1" x14ac:dyDescent="0.35">
      <c r="F178" s="19"/>
      <c r="G178" s="20"/>
    </row>
    <row r="179" spans="6:7" s="18" customFormat="1" ht="14.25" customHeight="1" x14ac:dyDescent="0.35">
      <c r="F179" s="19"/>
      <c r="G179" s="20"/>
    </row>
    <row r="180" spans="6:7" s="18" customFormat="1" ht="14.25" customHeight="1" x14ac:dyDescent="0.35">
      <c r="F180" s="19"/>
      <c r="G180" s="20"/>
    </row>
    <row r="181" spans="6:7" s="18" customFormat="1" ht="14.25" customHeight="1" x14ac:dyDescent="0.35">
      <c r="F181" s="19"/>
      <c r="G181" s="20"/>
    </row>
    <row r="182" spans="6:7" s="18" customFormat="1" ht="14.25" customHeight="1" x14ac:dyDescent="0.35">
      <c r="F182" s="19"/>
      <c r="G182" s="20"/>
    </row>
    <row r="183" spans="6:7" s="18" customFormat="1" ht="14.25" customHeight="1" x14ac:dyDescent="0.35">
      <c r="F183" s="19"/>
      <c r="G183" s="20"/>
    </row>
    <row r="184" spans="6:7" s="18" customFormat="1" ht="14.25" customHeight="1" x14ac:dyDescent="0.35">
      <c r="F184" s="19"/>
      <c r="G184" s="20"/>
    </row>
    <row r="185" spans="6:7" s="18" customFormat="1" ht="14.25" customHeight="1" x14ac:dyDescent="0.35">
      <c r="F185" s="19"/>
      <c r="G185" s="20"/>
    </row>
    <row r="186" spans="6:7" s="18" customFormat="1" ht="14.25" customHeight="1" x14ac:dyDescent="0.35">
      <c r="F186" s="19"/>
      <c r="G186" s="20"/>
    </row>
    <row r="187" spans="6:7" s="18" customFormat="1" ht="14.25" customHeight="1" x14ac:dyDescent="0.35">
      <c r="F187" s="19"/>
      <c r="G187" s="20"/>
    </row>
    <row r="188" spans="6:7" s="18" customFormat="1" ht="14.25" customHeight="1" x14ac:dyDescent="0.35">
      <c r="F188" s="19"/>
      <c r="G188" s="20"/>
    </row>
    <row r="189" spans="6:7" s="18" customFormat="1" ht="14.25" customHeight="1" x14ac:dyDescent="0.35">
      <c r="F189" s="19"/>
      <c r="G189" s="20"/>
    </row>
    <row r="190" spans="6:7" s="18" customFormat="1" ht="14.25" customHeight="1" x14ac:dyDescent="0.35">
      <c r="F190" s="19"/>
      <c r="G190" s="20"/>
    </row>
    <row r="191" spans="6:7" s="18" customFormat="1" ht="14.25" customHeight="1" x14ac:dyDescent="0.35">
      <c r="F191" s="19"/>
      <c r="G191" s="20"/>
    </row>
    <row r="192" spans="6:7" s="18" customFormat="1" ht="14.25" customHeight="1" x14ac:dyDescent="0.35">
      <c r="F192" s="19"/>
      <c r="G192" s="20"/>
    </row>
    <row r="193" spans="6:7" s="18" customFormat="1" ht="14.25" customHeight="1" x14ac:dyDescent="0.35">
      <c r="F193" s="19"/>
      <c r="G193" s="20"/>
    </row>
    <row r="194" spans="6:7" s="18" customFormat="1" ht="14.25" customHeight="1" x14ac:dyDescent="0.35">
      <c r="F194" s="19"/>
      <c r="G194" s="20"/>
    </row>
    <row r="195" spans="6:7" s="18" customFormat="1" ht="14.25" customHeight="1" x14ac:dyDescent="0.35">
      <c r="F195" s="19"/>
      <c r="G195" s="20"/>
    </row>
    <row r="196" spans="6:7" s="18" customFormat="1" ht="14.25" customHeight="1" x14ac:dyDescent="0.35">
      <c r="F196" s="19"/>
      <c r="G196" s="20"/>
    </row>
    <row r="197" spans="6:7" s="18" customFormat="1" ht="14.25" customHeight="1" x14ac:dyDescent="0.35">
      <c r="F197" s="19"/>
      <c r="G197" s="20"/>
    </row>
    <row r="198" spans="6:7" s="18" customFormat="1" ht="14.25" customHeight="1" x14ac:dyDescent="0.35">
      <c r="F198" s="19"/>
      <c r="G198" s="20"/>
    </row>
    <row r="199" spans="6:7" s="18" customFormat="1" ht="14.25" customHeight="1" x14ac:dyDescent="0.35">
      <c r="F199" s="19"/>
      <c r="G199" s="20"/>
    </row>
    <row r="200" spans="6:7" s="18" customFormat="1" ht="14.25" customHeight="1" x14ac:dyDescent="0.35">
      <c r="F200" s="19"/>
      <c r="G200" s="20"/>
    </row>
    <row r="201" spans="6:7" s="18" customFormat="1" ht="14.25" customHeight="1" x14ac:dyDescent="0.35">
      <c r="F201" s="19"/>
      <c r="G201" s="20"/>
    </row>
    <row r="202" spans="6:7" s="18" customFormat="1" ht="14.25" customHeight="1" x14ac:dyDescent="0.35">
      <c r="F202" s="19"/>
      <c r="G202" s="20"/>
    </row>
    <row r="203" spans="6:7" s="18" customFormat="1" ht="14.25" customHeight="1" x14ac:dyDescent="0.35">
      <c r="F203" s="19"/>
      <c r="G203" s="20"/>
    </row>
    <row r="204" spans="6:7" s="18" customFormat="1" ht="14.25" customHeight="1" x14ac:dyDescent="0.35">
      <c r="F204" s="19"/>
      <c r="G204" s="20"/>
    </row>
    <row r="205" spans="6:7" s="18" customFormat="1" ht="14.25" customHeight="1" x14ac:dyDescent="0.35">
      <c r="F205" s="19"/>
      <c r="G205" s="20"/>
    </row>
    <row r="206" spans="6:7" s="18" customFormat="1" ht="14.25" customHeight="1" x14ac:dyDescent="0.35">
      <c r="F206" s="19"/>
      <c r="G206" s="20"/>
    </row>
    <row r="207" spans="6:7" s="18" customFormat="1" ht="14.25" customHeight="1" x14ac:dyDescent="0.35">
      <c r="F207" s="19"/>
      <c r="G207" s="20"/>
    </row>
    <row r="208" spans="6:7" s="18" customFormat="1" ht="14.25" customHeight="1" x14ac:dyDescent="0.35">
      <c r="F208" s="19"/>
      <c r="G208" s="20"/>
    </row>
    <row r="209" spans="6:7" s="18" customFormat="1" ht="14.25" customHeight="1" x14ac:dyDescent="0.35">
      <c r="F209" s="19"/>
      <c r="G209" s="20"/>
    </row>
    <row r="210" spans="6:7" s="18" customFormat="1" ht="14.25" customHeight="1" x14ac:dyDescent="0.35">
      <c r="F210" s="19"/>
      <c r="G210" s="20"/>
    </row>
    <row r="211" spans="6:7" s="18" customFormat="1" ht="14.25" customHeight="1" x14ac:dyDescent="0.35">
      <c r="F211" s="19"/>
      <c r="G211" s="20"/>
    </row>
    <row r="212" spans="6:7" s="18" customFormat="1" ht="14.25" customHeight="1" x14ac:dyDescent="0.35">
      <c r="F212" s="19"/>
      <c r="G212" s="20"/>
    </row>
    <row r="213" spans="6:7" s="18" customFormat="1" ht="14.25" customHeight="1" x14ac:dyDescent="0.35">
      <c r="F213" s="19"/>
      <c r="G213" s="20"/>
    </row>
    <row r="214" spans="6:7" s="18" customFormat="1" ht="14.25" customHeight="1" x14ac:dyDescent="0.35">
      <c r="F214" s="19"/>
      <c r="G214" s="20"/>
    </row>
    <row r="215" spans="6:7" s="18" customFormat="1" ht="14.25" customHeight="1" x14ac:dyDescent="0.35">
      <c r="F215" s="19"/>
      <c r="G215" s="20"/>
    </row>
    <row r="216" spans="6:7" s="18" customFormat="1" ht="14.25" customHeight="1" x14ac:dyDescent="0.35">
      <c r="F216" s="19"/>
      <c r="G216" s="20"/>
    </row>
    <row r="217" spans="6:7" s="18" customFormat="1" ht="14.25" customHeight="1" x14ac:dyDescent="0.35">
      <c r="F217" s="19"/>
      <c r="G217" s="20"/>
    </row>
    <row r="218" spans="6:7" s="18" customFormat="1" ht="14.25" customHeight="1" x14ac:dyDescent="0.35">
      <c r="F218" s="19"/>
      <c r="G218" s="20"/>
    </row>
    <row r="219" spans="6:7" s="18" customFormat="1" ht="14.25" customHeight="1" x14ac:dyDescent="0.35">
      <c r="F219" s="19"/>
      <c r="G219" s="20"/>
    </row>
    <row r="220" spans="6:7" s="18" customFormat="1" ht="14.25" customHeight="1" x14ac:dyDescent="0.35">
      <c r="F220" s="19"/>
      <c r="G220" s="20"/>
    </row>
    <row r="221" spans="6:7" s="18" customFormat="1" ht="14.25" customHeight="1" x14ac:dyDescent="0.35">
      <c r="F221" s="19"/>
      <c r="G221" s="20"/>
    </row>
    <row r="222" spans="6:7" s="18" customFormat="1" ht="14.25" customHeight="1" x14ac:dyDescent="0.35">
      <c r="F222" s="19"/>
      <c r="G222" s="20"/>
    </row>
    <row r="223" spans="6:7" s="18" customFormat="1" ht="14.25" customHeight="1" x14ac:dyDescent="0.35">
      <c r="F223" s="19"/>
      <c r="G223" s="20"/>
    </row>
    <row r="224" spans="6:7" s="18" customFormat="1" ht="14.25" customHeight="1" x14ac:dyDescent="0.35">
      <c r="F224" s="19"/>
      <c r="G224" s="20"/>
    </row>
    <row r="225" spans="6:7" s="18" customFormat="1" ht="14.25" customHeight="1" x14ac:dyDescent="0.35">
      <c r="F225" s="19"/>
      <c r="G225" s="20"/>
    </row>
    <row r="226" spans="6:7" s="18" customFormat="1" ht="14.25" customHeight="1" x14ac:dyDescent="0.35">
      <c r="F226" s="19"/>
      <c r="G226" s="20"/>
    </row>
    <row r="227" spans="6:7" s="18" customFormat="1" ht="14.25" customHeight="1" x14ac:dyDescent="0.35">
      <c r="F227" s="19"/>
      <c r="G227" s="20"/>
    </row>
    <row r="228" spans="6:7" s="18" customFormat="1" ht="14.25" customHeight="1" x14ac:dyDescent="0.35">
      <c r="F228" s="19"/>
      <c r="G228" s="20"/>
    </row>
    <row r="229" spans="6:7" s="18" customFormat="1" ht="14.25" customHeight="1" x14ac:dyDescent="0.35">
      <c r="F229" s="19"/>
      <c r="G229" s="20"/>
    </row>
    <row r="230" spans="6:7" s="18" customFormat="1" ht="14.25" customHeight="1" x14ac:dyDescent="0.35">
      <c r="F230" s="19"/>
      <c r="G230" s="20"/>
    </row>
    <row r="231" spans="6:7" s="18" customFormat="1" ht="14.25" customHeight="1" x14ac:dyDescent="0.35">
      <c r="F231" s="19"/>
      <c r="G231" s="20"/>
    </row>
    <row r="232" spans="6:7" s="18" customFormat="1" ht="14.25" customHeight="1" x14ac:dyDescent="0.35">
      <c r="F232" s="19"/>
      <c r="G232" s="20"/>
    </row>
    <row r="233" spans="6:7" s="18" customFormat="1" ht="14.25" customHeight="1" x14ac:dyDescent="0.35">
      <c r="F233" s="19"/>
      <c r="G233" s="20"/>
    </row>
    <row r="234" spans="6:7" s="18" customFormat="1" ht="14.25" customHeight="1" x14ac:dyDescent="0.35">
      <c r="F234" s="19"/>
      <c r="G234" s="20"/>
    </row>
    <row r="235" spans="6:7" s="18" customFormat="1" ht="14.25" customHeight="1" x14ac:dyDescent="0.35">
      <c r="F235" s="19"/>
      <c r="G235" s="20"/>
    </row>
    <row r="236" spans="6:7" s="18" customFormat="1" ht="14.25" customHeight="1" x14ac:dyDescent="0.35">
      <c r="F236" s="19"/>
      <c r="G236" s="20"/>
    </row>
    <row r="237" spans="6:7" s="18" customFormat="1" ht="14.25" customHeight="1" x14ac:dyDescent="0.35">
      <c r="F237" s="19"/>
      <c r="G237" s="20"/>
    </row>
    <row r="238" spans="6:7" s="18" customFormat="1" ht="14.25" customHeight="1" x14ac:dyDescent="0.35">
      <c r="F238" s="19"/>
      <c r="G238" s="20"/>
    </row>
    <row r="239" spans="6:7" s="18" customFormat="1" ht="14.25" customHeight="1" x14ac:dyDescent="0.35">
      <c r="F239" s="19"/>
      <c r="G239" s="20"/>
    </row>
    <row r="240" spans="6:7" s="18" customFormat="1" ht="14.25" customHeight="1" x14ac:dyDescent="0.35">
      <c r="F240" s="19"/>
      <c r="G240" s="20"/>
    </row>
    <row r="241" spans="6:7" s="18" customFormat="1" ht="14.25" customHeight="1" x14ac:dyDescent="0.35">
      <c r="F241" s="19"/>
      <c r="G241" s="20"/>
    </row>
    <row r="242" spans="6:7" s="18" customFormat="1" ht="14.25" customHeight="1" x14ac:dyDescent="0.35">
      <c r="F242" s="19"/>
      <c r="G242" s="20"/>
    </row>
    <row r="243" spans="6:7" s="18" customFormat="1" ht="14.25" customHeight="1" x14ac:dyDescent="0.35">
      <c r="F243" s="19"/>
      <c r="G243" s="20"/>
    </row>
    <row r="244" spans="6:7" s="18" customFormat="1" ht="14.25" customHeight="1" x14ac:dyDescent="0.35">
      <c r="F244" s="19"/>
      <c r="G244" s="20"/>
    </row>
    <row r="245" spans="6:7" s="18" customFormat="1" ht="14.25" customHeight="1" x14ac:dyDescent="0.35">
      <c r="F245" s="19"/>
      <c r="G245" s="20"/>
    </row>
    <row r="246" spans="6:7" s="18" customFormat="1" ht="14.25" customHeight="1" x14ac:dyDescent="0.35">
      <c r="F246" s="19"/>
      <c r="G246" s="20"/>
    </row>
    <row r="247" spans="6:7" s="18" customFormat="1" ht="14.25" customHeight="1" x14ac:dyDescent="0.35">
      <c r="F247" s="19"/>
      <c r="G247" s="20"/>
    </row>
    <row r="248" spans="6:7" s="18" customFormat="1" ht="14.25" customHeight="1" x14ac:dyDescent="0.35">
      <c r="F248" s="19"/>
      <c r="G248" s="20"/>
    </row>
    <row r="249" spans="6:7" s="18" customFormat="1" ht="14.25" customHeight="1" x14ac:dyDescent="0.35">
      <c r="F249" s="19"/>
      <c r="G249" s="20"/>
    </row>
    <row r="250" spans="6:7" s="18" customFormat="1" ht="14.25" customHeight="1" x14ac:dyDescent="0.35">
      <c r="F250" s="19"/>
      <c r="G250" s="20"/>
    </row>
    <row r="251" spans="6:7" s="18" customFormat="1" ht="14.25" customHeight="1" x14ac:dyDescent="0.35">
      <c r="F251" s="19"/>
      <c r="G251" s="20"/>
    </row>
    <row r="252" spans="6:7" s="18" customFormat="1" ht="14.25" customHeight="1" x14ac:dyDescent="0.35">
      <c r="F252" s="19"/>
      <c r="G252" s="20"/>
    </row>
    <row r="253" spans="6:7" s="18" customFormat="1" ht="14.25" customHeight="1" x14ac:dyDescent="0.35">
      <c r="F253" s="19"/>
      <c r="G253" s="20"/>
    </row>
    <row r="254" spans="6:7" s="18" customFormat="1" ht="14.25" customHeight="1" x14ac:dyDescent="0.35">
      <c r="F254" s="19"/>
      <c r="G254" s="20"/>
    </row>
    <row r="255" spans="6:7" s="18" customFormat="1" ht="14.25" customHeight="1" x14ac:dyDescent="0.35">
      <c r="F255" s="19"/>
      <c r="G255" s="20"/>
    </row>
    <row r="256" spans="6:7" s="18" customFormat="1" ht="14.25" customHeight="1" x14ac:dyDescent="0.35">
      <c r="F256" s="19"/>
      <c r="G256" s="20"/>
    </row>
    <row r="257" spans="6:7" s="18" customFormat="1" ht="14.25" customHeight="1" x14ac:dyDescent="0.35">
      <c r="F257" s="19"/>
      <c r="G257" s="20"/>
    </row>
    <row r="258" spans="6:7" s="18" customFormat="1" ht="14.25" customHeight="1" x14ac:dyDescent="0.35">
      <c r="F258" s="19"/>
      <c r="G258" s="20"/>
    </row>
    <row r="259" spans="6:7" s="18" customFormat="1" ht="14.25" customHeight="1" x14ac:dyDescent="0.35">
      <c r="F259" s="19"/>
      <c r="G259" s="20"/>
    </row>
    <row r="260" spans="6:7" s="18" customFormat="1" ht="14.25" customHeight="1" x14ac:dyDescent="0.35">
      <c r="F260" s="19"/>
      <c r="G260" s="20"/>
    </row>
    <row r="261" spans="6:7" s="18" customFormat="1" ht="14.25" customHeight="1" x14ac:dyDescent="0.35">
      <c r="F261" s="19"/>
      <c r="G261" s="20"/>
    </row>
    <row r="262" spans="6:7" s="18" customFormat="1" ht="14.25" customHeight="1" x14ac:dyDescent="0.35">
      <c r="F262" s="19"/>
      <c r="G262" s="20"/>
    </row>
    <row r="263" spans="6:7" s="18" customFormat="1" ht="14.25" customHeight="1" x14ac:dyDescent="0.35">
      <c r="F263" s="19"/>
      <c r="G263" s="20"/>
    </row>
    <row r="264" spans="6:7" s="18" customFormat="1" ht="14.25" customHeight="1" x14ac:dyDescent="0.35">
      <c r="F264" s="19"/>
      <c r="G264" s="20"/>
    </row>
    <row r="265" spans="6:7" s="18" customFormat="1" ht="14.25" customHeight="1" x14ac:dyDescent="0.35">
      <c r="F265" s="19"/>
      <c r="G265" s="20"/>
    </row>
    <row r="266" spans="6:7" s="18" customFormat="1" ht="14.25" customHeight="1" x14ac:dyDescent="0.35">
      <c r="F266" s="19"/>
      <c r="G266" s="20"/>
    </row>
    <row r="267" spans="6:7" s="18" customFormat="1" ht="14.25" customHeight="1" x14ac:dyDescent="0.35">
      <c r="F267" s="19"/>
      <c r="G267" s="20"/>
    </row>
    <row r="268" spans="6:7" s="18" customFormat="1" ht="14.25" customHeight="1" x14ac:dyDescent="0.35">
      <c r="F268" s="19"/>
      <c r="G268" s="20"/>
    </row>
    <row r="269" spans="6:7" s="18" customFormat="1" ht="14.25" customHeight="1" x14ac:dyDescent="0.35">
      <c r="F269" s="19"/>
      <c r="G269" s="20"/>
    </row>
    <row r="270" spans="6:7" s="18" customFormat="1" ht="14.25" customHeight="1" x14ac:dyDescent="0.35">
      <c r="F270" s="19"/>
      <c r="G270" s="20"/>
    </row>
    <row r="271" spans="6:7" s="18" customFormat="1" ht="14.25" customHeight="1" x14ac:dyDescent="0.35">
      <c r="F271" s="19"/>
      <c r="G271" s="20"/>
    </row>
    <row r="272" spans="6:7" s="18" customFormat="1" ht="14.25" customHeight="1" x14ac:dyDescent="0.35">
      <c r="F272" s="19"/>
      <c r="G272" s="20"/>
    </row>
    <row r="273" spans="6:7" s="18" customFormat="1" ht="14.25" customHeight="1" x14ac:dyDescent="0.35">
      <c r="F273" s="19"/>
      <c r="G273" s="20"/>
    </row>
    <row r="274" spans="6:7" s="18" customFormat="1" ht="14.25" customHeight="1" x14ac:dyDescent="0.35">
      <c r="F274" s="19"/>
      <c r="G274" s="20"/>
    </row>
    <row r="275" spans="6:7" s="18" customFormat="1" ht="14.25" customHeight="1" x14ac:dyDescent="0.35">
      <c r="F275" s="19"/>
      <c r="G275" s="20"/>
    </row>
    <row r="276" spans="6:7" s="18" customFormat="1" ht="14.25" customHeight="1" x14ac:dyDescent="0.35">
      <c r="F276" s="19"/>
      <c r="G276" s="20"/>
    </row>
    <row r="277" spans="6:7" s="18" customFormat="1" ht="14.25" customHeight="1" x14ac:dyDescent="0.35">
      <c r="F277" s="19"/>
      <c r="G277" s="20"/>
    </row>
    <row r="278" spans="6:7" s="18" customFormat="1" ht="14.25" customHeight="1" x14ac:dyDescent="0.35">
      <c r="F278" s="19"/>
      <c r="G278" s="20"/>
    </row>
    <row r="279" spans="6:7" s="18" customFormat="1" ht="14.25" customHeight="1" x14ac:dyDescent="0.35">
      <c r="F279" s="19"/>
      <c r="G279" s="20"/>
    </row>
    <row r="280" spans="6:7" s="18" customFormat="1" ht="14.25" customHeight="1" x14ac:dyDescent="0.35">
      <c r="F280" s="19"/>
      <c r="G280" s="20"/>
    </row>
    <row r="281" spans="6:7" s="18" customFormat="1" ht="14.25" customHeight="1" x14ac:dyDescent="0.35">
      <c r="F281" s="19"/>
      <c r="G281" s="20"/>
    </row>
    <row r="282" spans="6:7" s="18" customFormat="1" ht="14.25" customHeight="1" x14ac:dyDescent="0.35">
      <c r="F282" s="19"/>
      <c r="G282" s="20"/>
    </row>
    <row r="283" spans="6:7" s="18" customFormat="1" ht="14.25" customHeight="1" x14ac:dyDescent="0.35">
      <c r="F283" s="19"/>
      <c r="G283" s="20"/>
    </row>
    <row r="284" spans="6:7" s="18" customFormat="1" ht="14.25" customHeight="1" x14ac:dyDescent="0.35">
      <c r="F284" s="19"/>
      <c r="G284" s="20"/>
    </row>
    <row r="285" spans="6:7" s="18" customFormat="1" ht="14.25" customHeight="1" x14ac:dyDescent="0.35">
      <c r="F285" s="19"/>
      <c r="G285" s="20"/>
    </row>
    <row r="286" spans="6:7" s="18" customFormat="1" ht="14.25" customHeight="1" x14ac:dyDescent="0.35">
      <c r="F286" s="19"/>
      <c r="G286" s="20"/>
    </row>
    <row r="287" spans="6:7" s="18" customFormat="1" ht="14.25" customHeight="1" x14ac:dyDescent="0.35">
      <c r="F287" s="19"/>
      <c r="G287" s="20"/>
    </row>
    <row r="288" spans="6:7" s="18" customFormat="1" ht="14.25" customHeight="1" x14ac:dyDescent="0.35">
      <c r="F288" s="19"/>
      <c r="G288" s="20"/>
    </row>
    <row r="289" spans="6:7" s="18" customFormat="1" ht="14.25" customHeight="1" x14ac:dyDescent="0.35">
      <c r="F289" s="19"/>
      <c r="G289" s="20"/>
    </row>
    <row r="290" spans="6:7" s="18" customFormat="1" ht="14.25" customHeight="1" x14ac:dyDescent="0.35">
      <c r="F290" s="19"/>
      <c r="G290" s="20"/>
    </row>
    <row r="291" spans="6:7" s="18" customFormat="1" ht="14.25" customHeight="1" x14ac:dyDescent="0.35">
      <c r="F291" s="19"/>
      <c r="G291" s="20"/>
    </row>
    <row r="292" spans="6:7" s="18" customFormat="1" ht="14.25" customHeight="1" x14ac:dyDescent="0.35">
      <c r="F292" s="19"/>
      <c r="G292" s="20"/>
    </row>
    <row r="293" spans="6:7" s="18" customFormat="1" ht="14.25" customHeight="1" x14ac:dyDescent="0.35">
      <c r="F293" s="19"/>
      <c r="G293" s="20"/>
    </row>
    <row r="294" spans="6:7" s="18" customFormat="1" ht="14.25" customHeight="1" x14ac:dyDescent="0.35">
      <c r="F294" s="19"/>
      <c r="G294" s="20"/>
    </row>
    <row r="295" spans="6:7" s="18" customFormat="1" ht="14.25" customHeight="1" x14ac:dyDescent="0.35">
      <c r="F295" s="19"/>
      <c r="G295" s="20"/>
    </row>
    <row r="296" spans="6:7" s="18" customFormat="1" ht="14.25" customHeight="1" x14ac:dyDescent="0.35">
      <c r="F296" s="19"/>
      <c r="G296" s="20"/>
    </row>
    <row r="297" spans="6:7" s="18" customFormat="1" ht="14.25" customHeight="1" x14ac:dyDescent="0.35">
      <c r="F297" s="19"/>
      <c r="G297" s="20"/>
    </row>
    <row r="298" spans="6:7" s="18" customFormat="1" ht="14.25" customHeight="1" x14ac:dyDescent="0.35">
      <c r="F298" s="19"/>
      <c r="G298" s="20"/>
    </row>
    <row r="299" spans="6:7" s="18" customFormat="1" ht="14.25" customHeight="1" x14ac:dyDescent="0.35">
      <c r="F299" s="19"/>
      <c r="G299" s="20"/>
    </row>
    <row r="300" spans="6:7" s="18" customFormat="1" ht="14.25" customHeight="1" x14ac:dyDescent="0.35">
      <c r="F300" s="19"/>
      <c r="G300" s="20"/>
    </row>
    <row r="301" spans="6:7" s="18" customFormat="1" ht="14.25" customHeight="1" x14ac:dyDescent="0.35">
      <c r="F301" s="19"/>
      <c r="G301" s="20"/>
    </row>
    <row r="302" spans="6:7" s="18" customFormat="1" ht="14.25" customHeight="1" x14ac:dyDescent="0.35">
      <c r="F302" s="19"/>
      <c r="G302" s="20"/>
    </row>
    <row r="303" spans="6:7" s="18" customFormat="1" ht="14.25" customHeight="1" x14ac:dyDescent="0.35">
      <c r="F303" s="19"/>
      <c r="G303" s="20"/>
    </row>
    <row r="304" spans="6:7" s="18" customFormat="1" ht="14.25" customHeight="1" x14ac:dyDescent="0.35">
      <c r="F304" s="19"/>
      <c r="G304" s="20"/>
    </row>
    <row r="305" spans="6:7" s="18" customFormat="1" ht="14.25" customHeight="1" x14ac:dyDescent="0.35">
      <c r="F305" s="19"/>
      <c r="G305" s="20"/>
    </row>
    <row r="306" spans="6:7" s="18" customFormat="1" ht="14.25" customHeight="1" x14ac:dyDescent="0.35">
      <c r="F306" s="19"/>
      <c r="G306" s="20"/>
    </row>
    <row r="307" spans="6:7" s="18" customFormat="1" ht="14.25" customHeight="1" x14ac:dyDescent="0.35">
      <c r="F307" s="19"/>
      <c r="G307" s="20"/>
    </row>
    <row r="308" spans="6:7" s="18" customFormat="1" ht="14.25" customHeight="1" x14ac:dyDescent="0.35">
      <c r="F308" s="19"/>
      <c r="G308" s="20"/>
    </row>
    <row r="309" spans="6:7" s="18" customFormat="1" ht="14.25" customHeight="1" x14ac:dyDescent="0.35">
      <c r="F309" s="19"/>
      <c r="G309" s="20"/>
    </row>
    <row r="310" spans="6:7" s="18" customFormat="1" ht="14.25" customHeight="1" x14ac:dyDescent="0.35">
      <c r="F310" s="19"/>
      <c r="G310" s="20"/>
    </row>
    <row r="311" spans="6:7" s="18" customFormat="1" ht="14.25" customHeight="1" x14ac:dyDescent="0.35">
      <c r="F311" s="19"/>
      <c r="G311" s="20"/>
    </row>
    <row r="312" spans="6:7" s="18" customFormat="1" ht="14.25" customHeight="1" x14ac:dyDescent="0.35">
      <c r="F312" s="19"/>
      <c r="G312" s="20"/>
    </row>
    <row r="313" spans="6:7" s="18" customFormat="1" ht="14.25" customHeight="1" x14ac:dyDescent="0.35">
      <c r="F313" s="19"/>
      <c r="G313" s="20"/>
    </row>
    <row r="314" spans="6:7" s="18" customFormat="1" ht="14.25" customHeight="1" x14ac:dyDescent="0.35">
      <c r="F314" s="19"/>
      <c r="G314" s="20"/>
    </row>
    <row r="315" spans="6:7" s="18" customFormat="1" ht="14.25" customHeight="1" x14ac:dyDescent="0.35">
      <c r="F315" s="19"/>
      <c r="G315" s="20"/>
    </row>
    <row r="316" spans="6:7" s="18" customFormat="1" ht="14.25" customHeight="1" x14ac:dyDescent="0.35">
      <c r="F316" s="19"/>
      <c r="G316" s="20"/>
    </row>
    <row r="317" spans="6:7" s="18" customFormat="1" ht="14.25" customHeight="1" x14ac:dyDescent="0.35">
      <c r="F317" s="19"/>
      <c r="G317" s="20"/>
    </row>
    <row r="318" spans="6:7" s="18" customFormat="1" ht="14.25" customHeight="1" x14ac:dyDescent="0.35">
      <c r="F318" s="19"/>
      <c r="G318" s="20"/>
    </row>
    <row r="319" spans="6:7" s="18" customFormat="1" ht="14.25" customHeight="1" x14ac:dyDescent="0.35">
      <c r="F319" s="19"/>
      <c r="G319" s="20"/>
    </row>
    <row r="320" spans="6:7" s="18" customFormat="1" ht="14.25" customHeight="1" x14ac:dyDescent="0.35">
      <c r="F320" s="19"/>
      <c r="G320" s="20"/>
    </row>
    <row r="321" spans="6:7" s="18" customFormat="1" ht="14.25" customHeight="1" x14ac:dyDescent="0.35">
      <c r="F321" s="19"/>
      <c r="G321" s="20"/>
    </row>
    <row r="322" spans="6:7" s="18" customFormat="1" ht="14.25" customHeight="1" x14ac:dyDescent="0.35">
      <c r="F322" s="19"/>
      <c r="G322" s="20"/>
    </row>
    <row r="323" spans="6:7" s="18" customFormat="1" ht="14.25" customHeight="1" x14ac:dyDescent="0.35">
      <c r="F323" s="19"/>
      <c r="G323" s="20"/>
    </row>
    <row r="324" spans="6:7" s="18" customFormat="1" ht="14.25" customHeight="1" x14ac:dyDescent="0.35">
      <c r="F324" s="19"/>
      <c r="G324" s="20"/>
    </row>
    <row r="325" spans="6:7" s="18" customFormat="1" ht="14.25" customHeight="1" x14ac:dyDescent="0.35">
      <c r="F325" s="19"/>
      <c r="G325" s="20"/>
    </row>
    <row r="326" spans="6:7" s="18" customFormat="1" ht="14.25" customHeight="1" x14ac:dyDescent="0.35">
      <c r="F326" s="19"/>
      <c r="G326" s="20"/>
    </row>
    <row r="327" spans="6:7" s="18" customFormat="1" ht="14.25" customHeight="1" x14ac:dyDescent="0.35">
      <c r="F327" s="19"/>
      <c r="G327" s="20"/>
    </row>
    <row r="328" spans="6:7" s="18" customFormat="1" ht="14.25" customHeight="1" x14ac:dyDescent="0.35">
      <c r="F328" s="19"/>
      <c r="G328" s="20"/>
    </row>
    <row r="329" spans="6:7" s="18" customFormat="1" ht="14.25" customHeight="1" x14ac:dyDescent="0.35">
      <c r="F329" s="19"/>
      <c r="G329" s="20"/>
    </row>
    <row r="330" spans="6:7" s="18" customFormat="1" ht="14.25" customHeight="1" x14ac:dyDescent="0.35">
      <c r="F330" s="19"/>
      <c r="G330" s="20"/>
    </row>
    <row r="331" spans="6:7" s="18" customFormat="1" ht="14.25" customHeight="1" x14ac:dyDescent="0.35">
      <c r="F331" s="19"/>
      <c r="G331" s="20"/>
    </row>
    <row r="332" spans="6:7" s="18" customFormat="1" ht="14.25" customHeight="1" x14ac:dyDescent="0.35">
      <c r="F332" s="19"/>
      <c r="G332" s="20"/>
    </row>
    <row r="333" spans="6:7" s="18" customFormat="1" ht="14.25" customHeight="1" x14ac:dyDescent="0.35">
      <c r="F333" s="19"/>
      <c r="G333" s="20"/>
    </row>
    <row r="334" spans="6:7" s="18" customFormat="1" ht="14.25" customHeight="1" x14ac:dyDescent="0.35">
      <c r="F334" s="19"/>
      <c r="G334" s="20"/>
    </row>
    <row r="335" spans="6:7" s="18" customFormat="1" ht="14.25" customHeight="1" x14ac:dyDescent="0.35">
      <c r="F335" s="19"/>
      <c r="G335" s="20"/>
    </row>
    <row r="336" spans="6:7" s="18" customFormat="1" ht="14.25" customHeight="1" x14ac:dyDescent="0.35">
      <c r="F336" s="19"/>
      <c r="G336" s="20"/>
    </row>
    <row r="337" spans="6:7" s="18" customFormat="1" ht="14.25" customHeight="1" x14ac:dyDescent="0.35">
      <c r="F337" s="19"/>
      <c r="G337" s="20"/>
    </row>
    <row r="338" spans="6:7" s="18" customFormat="1" ht="14.25" customHeight="1" x14ac:dyDescent="0.35">
      <c r="F338" s="19"/>
      <c r="G338" s="20"/>
    </row>
    <row r="339" spans="6:7" s="18" customFormat="1" ht="14.25" customHeight="1" x14ac:dyDescent="0.35">
      <c r="F339" s="19"/>
      <c r="G339" s="20"/>
    </row>
    <row r="340" spans="6:7" s="18" customFormat="1" ht="14.25" customHeight="1" x14ac:dyDescent="0.35">
      <c r="F340" s="19"/>
      <c r="G340" s="20"/>
    </row>
    <row r="341" spans="6:7" s="18" customFormat="1" ht="14.25" customHeight="1" x14ac:dyDescent="0.35">
      <c r="F341" s="19"/>
      <c r="G341" s="20"/>
    </row>
    <row r="342" spans="6:7" s="18" customFormat="1" ht="14.25" customHeight="1" x14ac:dyDescent="0.35">
      <c r="F342" s="19"/>
      <c r="G342" s="20"/>
    </row>
    <row r="343" spans="6:7" s="18" customFormat="1" ht="14.25" customHeight="1" x14ac:dyDescent="0.35">
      <c r="F343" s="19"/>
      <c r="G343" s="20"/>
    </row>
    <row r="344" spans="6:7" s="18" customFormat="1" ht="14.25" customHeight="1" x14ac:dyDescent="0.35">
      <c r="F344" s="19"/>
      <c r="G344" s="20"/>
    </row>
    <row r="345" spans="6:7" s="18" customFormat="1" ht="14.25" customHeight="1" x14ac:dyDescent="0.35">
      <c r="F345" s="19"/>
      <c r="G345" s="20"/>
    </row>
    <row r="346" spans="6:7" s="18" customFormat="1" ht="14.25" customHeight="1" x14ac:dyDescent="0.35">
      <c r="F346" s="19"/>
      <c r="G346" s="20"/>
    </row>
    <row r="347" spans="6:7" s="18" customFormat="1" ht="14.25" customHeight="1" x14ac:dyDescent="0.35">
      <c r="F347" s="19"/>
      <c r="G347" s="20"/>
    </row>
    <row r="348" spans="6:7" s="18" customFormat="1" ht="14.25" customHeight="1" x14ac:dyDescent="0.35">
      <c r="F348" s="19"/>
      <c r="G348" s="20"/>
    </row>
    <row r="349" spans="6:7" s="18" customFormat="1" ht="14.25" customHeight="1" x14ac:dyDescent="0.35">
      <c r="F349" s="19"/>
      <c r="G349" s="20"/>
    </row>
    <row r="350" spans="6:7" s="18" customFormat="1" ht="14.25" customHeight="1" x14ac:dyDescent="0.35">
      <c r="F350" s="19"/>
      <c r="G350" s="20"/>
    </row>
    <row r="351" spans="6:7" s="18" customFormat="1" ht="14.25" customHeight="1" x14ac:dyDescent="0.35">
      <c r="F351" s="19"/>
      <c r="G351" s="20"/>
    </row>
    <row r="352" spans="6:7" s="18" customFormat="1" ht="14.25" customHeight="1" x14ac:dyDescent="0.35">
      <c r="F352" s="19"/>
      <c r="G352" s="20"/>
    </row>
    <row r="353" spans="6:7" s="18" customFormat="1" ht="14.25" customHeight="1" x14ac:dyDescent="0.35">
      <c r="F353" s="19"/>
      <c r="G353" s="20"/>
    </row>
    <row r="354" spans="6:7" s="18" customFormat="1" ht="14.25" customHeight="1" x14ac:dyDescent="0.35">
      <c r="F354" s="19"/>
      <c r="G354" s="20"/>
    </row>
    <row r="355" spans="6:7" s="18" customFormat="1" ht="14.25" customHeight="1" x14ac:dyDescent="0.35">
      <c r="F355" s="19"/>
      <c r="G355" s="20"/>
    </row>
    <row r="356" spans="6:7" s="18" customFormat="1" ht="14.25" customHeight="1" x14ac:dyDescent="0.35">
      <c r="F356" s="19"/>
      <c r="G356" s="20"/>
    </row>
    <row r="357" spans="6:7" s="18" customFormat="1" ht="14.25" customHeight="1" x14ac:dyDescent="0.35">
      <c r="F357" s="19"/>
      <c r="G357" s="20"/>
    </row>
    <row r="358" spans="6:7" s="18" customFormat="1" ht="14.25" customHeight="1" x14ac:dyDescent="0.35">
      <c r="F358" s="19"/>
      <c r="G358" s="20"/>
    </row>
    <row r="359" spans="6:7" s="18" customFormat="1" ht="14.25" customHeight="1" x14ac:dyDescent="0.35">
      <c r="F359" s="19"/>
      <c r="G359" s="20"/>
    </row>
    <row r="360" spans="6:7" s="18" customFormat="1" ht="14.25" customHeight="1" x14ac:dyDescent="0.35">
      <c r="F360" s="19"/>
      <c r="G360" s="20"/>
    </row>
    <row r="361" spans="6:7" s="18" customFormat="1" ht="14.25" customHeight="1" x14ac:dyDescent="0.35">
      <c r="F361" s="19"/>
      <c r="G361" s="20"/>
    </row>
    <row r="362" spans="6:7" s="18" customFormat="1" ht="14.25" customHeight="1" x14ac:dyDescent="0.35">
      <c r="F362" s="19"/>
      <c r="G362" s="20"/>
    </row>
    <row r="363" spans="6:7" s="18" customFormat="1" ht="14.25" customHeight="1" x14ac:dyDescent="0.35">
      <c r="F363" s="19"/>
      <c r="G363" s="20"/>
    </row>
    <row r="364" spans="6:7" s="18" customFormat="1" ht="14.25" customHeight="1" x14ac:dyDescent="0.35">
      <c r="F364" s="19"/>
      <c r="G364" s="20"/>
    </row>
    <row r="365" spans="6:7" s="18" customFormat="1" ht="14.25" customHeight="1" x14ac:dyDescent="0.35">
      <c r="F365" s="19"/>
      <c r="G365" s="20"/>
    </row>
    <row r="366" spans="6:7" s="18" customFormat="1" ht="14.25" customHeight="1" x14ac:dyDescent="0.35">
      <c r="F366" s="19"/>
      <c r="G366" s="20"/>
    </row>
    <row r="367" spans="6:7" s="18" customFormat="1" ht="14.25" customHeight="1" x14ac:dyDescent="0.35">
      <c r="F367" s="19"/>
      <c r="G367" s="20"/>
    </row>
    <row r="368" spans="6:7" s="18" customFormat="1" ht="14.25" customHeight="1" x14ac:dyDescent="0.35">
      <c r="F368" s="19"/>
      <c r="G368" s="20"/>
    </row>
    <row r="369" spans="6:7" s="18" customFormat="1" ht="14.25" customHeight="1" x14ac:dyDescent="0.35">
      <c r="F369" s="19"/>
      <c r="G369" s="20"/>
    </row>
    <row r="370" spans="6:7" s="18" customFormat="1" ht="14.25" customHeight="1" x14ac:dyDescent="0.35">
      <c r="F370" s="19"/>
      <c r="G370" s="20"/>
    </row>
    <row r="371" spans="6:7" s="18" customFormat="1" ht="14.25" customHeight="1" x14ac:dyDescent="0.35">
      <c r="F371" s="19"/>
      <c r="G371" s="20"/>
    </row>
    <row r="372" spans="6:7" s="18" customFormat="1" ht="14.25" customHeight="1" x14ac:dyDescent="0.35">
      <c r="F372" s="19"/>
      <c r="G372" s="20"/>
    </row>
    <row r="373" spans="6:7" s="18" customFormat="1" ht="14.25" customHeight="1" x14ac:dyDescent="0.35">
      <c r="F373" s="19"/>
      <c r="G373" s="20"/>
    </row>
    <row r="374" spans="6:7" s="18" customFormat="1" ht="14.25" customHeight="1" x14ac:dyDescent="0.35">
      <c r="F374" s="19"/>
      <c r="G374" s="20"/>
    </row>
    <row r="375" spans="6:7" s="18" customFormat="1" ht="14.25" customHeight="1" x14ac:dyDescent="0.35">
      <c r="F375" s="19"/>
      <c r="G375" s="20"/>
    </row>
    <row r="376" spans="6:7" s="18" customFormat="1" ht="14.25" customHeight="1" x14ac:dyDescent="0.35">
      <c r="F376" s="19"/>
      <c r="G376" s="20"/>
    </row>
    <row r="377" spans="6:7" s="18" customFormat="1" ht="14.25" customHeight="1" x14ac:dyDescent="0.35">
      <c r="F377" s="19"/>
      <c r="G377" s="20"/>
    </row>
    <row r="378" spans="6:7" s="18" customFormat="1" ht="14.25" customHeight="1" x14ac:dyDescent="0.35">
      <c r="F378" s="19"/>
      <c r="G378" s="20"/>
    </row>
    <row r="379" spans="6:7" s="18" customFormat="1" ht="14.25" customHeight="1" x14ac:dyDescent="0.35">
      <c r="F379" s="19"/>
      <c r="G379" s="20"/>
    </row>
    <row r="380" spans="6:7" s="18" customFormat="1" ht="14.25" customHeight="1" x14ac:dyDescent="0.35">
      <c r="F380" s="19"/>
      <c r="G380" s="20"/>
    </row>
    <row r="381" spans="6:7" s="18" customFormat="1" ht="14.25" customHeight="1" x14ac:dyDescent="0.35">
      <c r="F381" s="19"/>
      <c r="G381" s="20"/>
    </row>
    <row r="382" spans="6:7" s="18" customFormat="1" ht="14.25" customHeight="1" x14ac:dyDescent="0.35">
      <c r="F382" s="19"/>
      <c r="G382" s="20"/>
    </row>
    <row r="383" spans="6:7" s="18" customFormat="1" ht="14.25" customHeight="1" x14ac:dyDescent="0.35">
      <c r="F383" s="19"/>
      <c r="G383" s="20"/>
    </row>
    <row r="384" spans="6:7" s="18" customFormat="1" ht="14.25" customHeight="1" x14ac:dyDescent="0.35">
      <c r="F384" s="19"/>
      <c r="G384" s="20"/>
    </row>
    <row r="385" spans="6:7" s="18" customFormat="1" ht="14.25" customHeight="1" x14ac:dyDescent="0.35">
      <c r="F385" s="19"/>
      <c r="G385" s="20"/>
    </row>
    <row r="386" spans="6:7" s="18" customFormat="1" ht="14.25" customHeight="1" x14ac:dyDescent="0.35">
      <c r="F386" s="19"/>
      <c r="G386" s="20"/>
    </row>
    <row r="387" spans="6:7" s="18" customFormat="1" ht="14.25" customHeight="1" x14ac:dyDescent="0.35">
      <c r="F387" s="19"/>
      <c r="G387" s="20"/>
    </row>
    <row r="388" spans="6:7" s="18" customFormat="1" ht="14.25" customHeight="1" x14ac:dyDescent="0.35">
      <c r="F388" s="19"/>
      <c r="G388" s="20"/>
    </row>
    <row r="389" spans="6:7" s="18" customFormat="1" ht="14.25" customHeight="1" x14ac:dyDescent="0.35">
      <c r="F389" s="19"/>
      <c r="G389" s="20"/>
    </row>
    <row r="390" spans="6:7" s="18" customFormat="1" ht="14.25" customHeight="1" x14ac:dyDescent="0.35">
      <c r="F390" s="19"/>
      <c r="G390" s="20"/>
    </row>
    <row r="391" spans="6:7" s="18" customFormat="1" ht="14.25" customHeight="1" x14ac:dyDescent="0.35">
      <c r="F391" s="19"/>
      <c r="G391" s="20"/>
    </row>
    <row r="392" spans="6:7" s="18" customFormat="1" ht="14.25" customHeight="1" x14ac:dyDescent="0.35">
      <c r="F392" s="19"/>
      <c r="G392" s="20"/>
    </row>
    <row r="393" spans="6:7" s="18" customFormat="1" ht="14.25" customHeight="1" x14ac:dyDescent="0.35">
      <c r="F393" s="19"/>
      <c r="G393" s="20"/>
    </row>
    <row r="394" spans="6:7" s="18" customFormat="1" ht="14.25" customHeight="1" x14ac:dyDescent="0.35">
      <c r="F394" s="19"/>
      <c r="G394" s="20"/>
    </row>
    <row r="395" spans="6:7" s="18" customFormat="1" ht="14.25" customHeight="1" x14ac:dyDescent="0.35">
      <c r="F395" s="19"/>
      <c r="G395" s="20"/>
    </row>
    <row r="396" spans="6:7" s="18" customFormat="1" ht="14.25" customHeight="1" x14ac:dyDescent="0.35">
      <c r="F396" s="19"/>
      <c r="G396" s="20"/>
    </row>
    <row r="397" spans="6:7" s="18" customFormat="1" ht="14.25" customHeight="1" x14ac:dyDescent="0.35">
      <c r="F397" s="19"/>
      <c r="G397" s="20"/>
    </row>
    <row r="398" spans="6:7" s="18" customFormat="1" ht="14.25" customHeight="1" x14ac:dyDescent="0.35">
      <c r="F398" s="19"/>
      <c r="G398" s="20"/>
    </row>
    <row r="399" spans="6:7" s="18" customFormat="1" ht="14.25" customHeight="1" x14ac:dyDescent="0.35">
      <c r="F399" s="19"/>
      <c r="G399" s="20"/>
    </row>
    <row r="400" spans="6:7" s="18" customFormat="1" ht="14.25" customHeight="1" x14ac:dyDescent="0.35">
      <c r="F400" s="19"/>
      <c r="G400" s="20"/>
    </row>
    <row r="401" spans="6:7" s="18" customFormat="1" ht="14.25" customHeight="1" x14ac:dyDescent="0.35">
      <c r="F401" s="19"/>
      <c r="G401" s="20"/>
    </row>
    <row r="402" spans="6:7" s="18" customFormat="1" ht="14.25" customHeight="1" x14ac:dyDescent="0.35">
      <c r="F402" s="19"/>
      <c r="G402" s="20"/>
    </row>
    <row r="403" spans="6:7" s="18" customFormat="1" ht="14.25" customHeight="1" x14ac:dyDescent="0.35">
      <c r="F403" s="19"/>
      <c r="G403" s="20"/>
    </row>
    <row r="404" spans="6:7" s="18" customFormat="1" ht="14.25" customHeight="1" x14ac:dyDescent="0.35">
      <c r="F404" s="19"/>
      <c r="G404" s="20"/>
    </row>
    <row r="405" spans="6:7" s="18" customFormat="1" ht="14.25" customHeight="1" x14ac:dyDescent="0.35">
      <c r="F405" s="19"/>
      <c r="G405" s="20"/>
    </row>
    <row r="406" spans="6:7" s="18" customFormat="1" ht="14.25" customHeight="1" x14ac:dyDescent="0.35">
      <c r="F406" s="19"/>
      <c r="G406" s="20"/>
    </row>
    <row r="407" spans="6:7" s="18" customFormat="1" ht="14.25" customHeight="1" x14ac:dyDescent="0.35">
      <c r="F407" s="19"/>
      <c r="G407" s="20"/>
    </row>
    <row r="408" spans="6:7" s="18" customFormat="1" ht="14.25" customHeight="1" x14ac:dyDescent="0.35">
      <c r="F408" s="19"/>
      <c r="G408" s="20"/>
    </row>
    <row r="409" spans="6:7" s="18" customFormat="1" ht="14.25" customHeight="1" x14ac:dyDescent="0.35">
      <c r="F409" s="19"/>
      <c r="G409" s="20"/>
    </row>
    <row r="410" spans="6:7" s="18" customFormat="1" ht="14.25" customHeight="1" x14ac:dyDescent="0.35">
      <c r="F410" s="19"/>
      <c r="G410" s="20"/>
    </row>
    <row r="411" spans="6:7" s="18" customFormat="1" ht="14.25" customHeight="1" x14ac:dyDescent="0.35">
      <c r="F411" s="19"/>
      <c r="G411" s="20"/>
    </row>
    <row r="412" spans="6:7" s="18" customFormat="1" ht="14.25" customHeight="1" x14ac:dyDescent="0.35">
      <c r="F412" s="19"/>
      <c r="G412" s="20"/>
    </row>
    <row r="413" spans="6:7" s="18" customFormat="1" ht="14.25" customHeight="1" x14ac:dyDescent="0.35">
      <c r="F413" s="19"/>
      <c r="G413" s="20"/>
    </row>
    <row r="414" spans="6:7" s="18" customFormat="1" ht="14.25" customHeight="1" x14ac:dyDescent="0.35">
      <c r="F414" s="19"/>
      <c r="G414" s="20"/>
    </row>
    <row r="415" spans="6:7" s="18" customFormat="1" ht="14.25" customHeight="1" x14ac:dyDescent="0.35">
      <c r="F415" s="19"/>
      <c r="G415" s="20"/>
    </row>
    <row r="416" spans="6:7" s="18" customFormat="1" ht="14.25" customHeight="1" x14ac:dyDescent="0.35">
      <c r="F416" s="19"/>
      <c r="G416" s="20"/>
    </row>
    <row r="417" spans="6:7" s="18" customFormat="1" ht="14.25" customHeight="1" x14ac:dyDescent="0.35">
      <c r="F417" s="19"/>
      <c r="G417" s="20"/>
    </row>
    <row r="418" spans="6:7" s="18" customFormat="1" ht="14.25" customHeight="1" x14ac:dyDescent="0.35">
      <c r="F418" s="19"/>
      <c r="G418" s="20"/>
    </row>
    <row r="419" spans="6:7" s="18" customFormat="1" ht="14.25" customHeight="1" x14ac:dyDescent="0.35">
      <c r="F419" s="19"/>
      <c r="G419" s="20"/>
    </row>
    <row r="420" spans="6:7" s="18" customFormat="1" ht="14.25" customHeight="1" x14ac:dyDescent="0.35">
      <c r="F420" s="19"/>
      <c r="G420" s="20"/>
    </row>
    <row r="421" spans="6:7" s="18" customFormat="1" ht="14.25" customHeight="1" x14ac:dyDescent="0.35">
      <c r="F421" s="19"/>
      <c r="G421" s="20"/>
    </row>
    <row r="422" spans="6:7" s="18" customFormat="1" ht="14.25" customHeight="1" x14ac:dyDescent="0.35">
      <c r="F422" s="19"/>
      <c r="G422" s="20"/>
    </row>
    <row r="423" spans="6:7" s="18" customFormat="1" ht="14.25" customHeight="1" x14ac:dyDescent="0.35">
      <c r="F423" s="19"/>
      <c r="G423" s="20"/>
    </row>
    <row r="424" spans="6:7" s="18" customFormat="1" ht="14.25" customHeight="1" x14ac:dyDescent="0.35">
      <c r="F424" s="19"/>
      <c r="G424" s="20"/>
    </row>
    <row r="425" spans="6:7" s="18" customFormat="1" ht="14.25" customHeight="1" x14ac:dyDescent="0.35">
      <c r="F425" s="19"/>
      <c r="G425" s="20"/>
    </row>
    <row r="426" spans="6:7" s="18" customFormat="1" ht="14.25" customHeight="1" x14ac:dyDescent="0.35">
      <c r="F426" s="19"/>
      <c r="G426" s="20"/>
    </row>
    <row r="427" spans="6:7" s="18" customFormat="1" ht="14.25" customHeight="1" x14ac:dyDescent="0.35">
      <c r="F427" s="19"/>
      <c r="G427" s="20"/>
    </row>
    <row r="428" spans="6:7" s="18" customFormat="1" ht="14.25" customHeight="1" x14ac:dyDescent="0.35">
      <c r="F428" s="19"/>
      <c r="G428" s="20"/>
    </row>
    <row r="429" spans="6:7" s="18" customFormat="1" ht="14.25" customHeight="1" x14ac:dyDescent="0.35">
      <c r="F429" s="19"/>
      <c r="G429" s="20"/>
    </row>
    <row r="430" spans="6:7" s="18" customFormat="1" ht="14.25" customHeight="1" x14ac:dyDescent="0.35">
      <c r="F430" s="19"/>
      <c r="G430" s="20"/>
    </row>
    <row r="431" spans="6:7" s="18" customFormat="1" ht="14.25" customHeight="1" x14ac:dyDescent="0.35">
      <c r="F431" s="19"/>
      <c r="G431" s="20"/>
    </row>
    <row r="432" spans="6:7" s="18" customFormat="1" ht="14.25" customHeight="1" x14ac:dyDescent="0.35">
      <c r="F432" s="19"/>
      <c r="G432" s="20"/>
    </row>
    <row r="433" spans="6:7" s="18" customFormat="1" ht="14.25" customHeight="1" x14ac:dyDescent="0.35">
      <c r="F433" s="19"/>
      <c r="G433" s="20"/>
    </row>
    <row r="434" spans="6:7" s="18" customFormat="1" ht="14.25" customHeight="1" x14ac:dyDescent="0.35">
      <c r="F434" s="19"/>
      <c r="G434" s="20"/>
    </row>
    <row r="435" spans="6:7" s="18" customFormat="1" ht="14.25" customHeight="1" x14ac:dyDescent="0.35">
      <c r="F435" s="19"/>
      <c r="G435" s="20"/>
    </row>
    <row r="436" spans="6:7" s="18" customFormat="1" ht="14.25" customHeight="1" x14ac:dyDescent="0.35">
      <c r="F436" s="19"/>
      <c r="G436" s="20"/>
    </row>
    <row r="437" spans="6:7" s="18" customFormat="1" ht="14.25" customHeight="1" x14ac:dyDescent="0.35">
      <c r="F437" s="19"/>
      <c r="G437" s="20"/>
    </row>
    <row r="438" spans="6:7" s="18" customFormat="1" ht="14.25" customHeight="1" x14ac:dyDescent="0.35">
      <c r="F438" s="19"/>
      <c r="G438" s="20"/>
    </row>
    <row r="439" spans="6:7" s="18" customFormat="1" ht="14.25" customHeight="1" x14ac:dyDescent="0.35">
      <c r="F439" s="19"/>
      <c r="G439" s="20"/>
    </row>
    <row r="440" spans="6:7" s="18" customFormat="1" ht="14.25" customHeight="1" x14ac:dyDescent="0.35">
      <c r="F440" s="19"/>
      <c r="G440" s="20"/>
    </row>
    <row r="441" spans="6:7" s="18" customFormat="1" ht="14.25" customHeight="1" x14ac:dyDescent="0.35">
      <c r="F441" s="19"/>
      <c r="G441" s="20"/>
    </row>
    <row r="442" spans="6:7" s="18" customFormat="1" ht="14.25" customHeight="1" x14ac:dyDescent="0.35">
      <c r="F442" s="19"/>
      <c r="G442" s="20"/>
    </row>
    <row r="443" spans="6:7" s="18" customFormat="1" ht="14.25" customHeight="1" x14ac:dyDescent="0.35">
      <c r="F443" s="19"/>
      <c r="G443" s="20"/>
    </row>
    <row r="444" spans="6:7" s="18" customFormat="1" ht="14.25" customHeight="1" x14ac:dyDescent="0.35">
      <c r="F444" s="19"/>
      <c r="G444" s="20"/>
    </row>
    <row r="445" spans="6:7" s="18" customFormat="1" ht="14.25" customHeight="1" x14ac:dyDescent="0.35">
      <c r="F445" s="19"/>
      <c r="G445" s="20"/>
    </row>
    <row r="446" spans="6:7" s="18" customFormat="1" ht="14.25" customHeight="1" x14ac:dyDescent="0.35">
      <c r="F446" s="19"/>
      <c r="G446" s="20"/>
    </row>
    <row r="447" spans="6:7" s="18" customFormat="1" ht="14.25" customHeight="1" x14ac:dyDescent="0.35">
      <c r="F447" s="19"/>
      <c r="G447" s="20"/>
    </row>
    <row r="448" spans="6:7" s="18" customFormat="1" ht="14.25" customHeight="1" x14ac:dyDescent="0.35">
      <c r="F448" s="19"/>
      <c r="G448" s="20"/>
    </row>
    <row r="449" spans="6:7" s="18" customFormat="1" ht="14.25" customHeight="1" x14ac:dyDescent="0.35">
      <c r="F449" s="19"/>
      <c r="G449" s="20"/>
    </row>
    <row r="450" spans="6:7" s="18" customFormat="1" ht="14.25" customHeight="1" x14ac:dyDescent="0.35">
      <c r="F450" s="19"/>
      <c r="G450" s="20"/>
    </row>
    <row r="451" spans="6:7" s="18" customFormat="1" ht="14.25" customHeight="1" x14ac:dyDescent="0.35">
      <c r="F451" s="19"/>
      <c r="G451" s="20"/>
    </row>
    <row r="452" spans="6:7" s="18" customFormat="1" ht="14.25" customHeight="1" x14ac:dyDescent="0.35">
      <c r="F452" s="19"/>
      <c r="G452" s="20"/>
    </row>
    <row r="453" spans="6:7" s="18" customFormat="1" ht="14.25" customHeight="1" x14ac:dyDescent="0.35">
      <c r="F453" s="19"/>
      <c r="G453" s="20"/>
    </row>
    <row r="454" spans="6:7" s="18" customFormat="1" ht="14.25" customHeight="1" x14ac:dyDescent="0.35">
      <c r="F454" s="19"/>
      <c r="G454" s="20"/>
    </row>
    <row r="455" spans="6:7" s="18" customFormat="1" ht="14.25" customHeight="1" x14ac:dyDescent="0.35">
      <c r="F455" s="19"/>
      <c r="G455" s="20"/>
    </row>
    <row r="456" spans="6:7" s="18" customFormat="1" ht="14.25" customHeight="1" x14ac:dyDescent="0.35">
      <c r="F456" s="19"/>
      <c r="G456" s="20"/>
    </row>
    <row r="457" spans="6:7" s="18" customFormat="1" ht="14.25" customHeight="1" x14ac:dyDescent="0.35">
      <c r="F457" s="19"/>
      <c r="G457" s="20"/>
    </row>
    <row r="458" spans="6:7" s="18" customFormat="1" ht="14.25" customHeight="1" x14ac:dyDescent="0.35">
      <c r="F458" s="19"/>
      <c r="G458" s="20"/>
    </row>
    <row r="459" spans="6:7" s="18" customFormat="1" ht="14.25" customHeight="1" x14ac:dyDescent="0.35">
      <c r="F459" s="19"/>
      <c r="G459" s="20"/>
    </row>
    <row r="460" spans="6:7" s="18" customFormat="1" ht="14.25" customHeight="1" x14ac:dyDescent="0.35">
      <c r="F460" s="19"/>
      <c r="G460" s="20"/>
    </row>
    <row r="461" spans="6:7" s="18" customFormat="1" ht="14.25" customHeight="1" x14ac:dyDescent="0.35">
      <c r="F461" s="19"/>
      <c r="G461" s="20"/>
    </row>
    <row r="462" spans="6:7" s="18" customFormat="1" ht="14.25" customHeight="1" x14ac:dyDescent="0.35">
      <c r="F462" s="19"/>
      <c r="G462" s="20"/>
    </row>
    <row r="463" spans="6:7" s="18" customFormat="1" ht="14.25" customHeight="1" x14ac:dyDescent="0.35">
      <c r="F463" s="19"/>
      <c r="G463" s="20"/>
    </row>
    <row r="464" spans="6:7" s="18" customFormat="1" ht="14.25" customHeight="1" x14ac:dyDescent="0.35">
      <c r="F464" s="19"/>
      <c r="G464" s="20"/>
    </row>
    <row r="465" spans="6:7" s="18" customFormat="1" ht="14.25" customHeight="1" x14ac:dyDescent="0.35">
      <c r="F465" s="19"/>
      <c r="G465" s="20"/>
    </row>
    <row r="466" spans="6:7" s="18" customFormat="1" ht="14.25" customHeight="1" x14ac:dyDescent="0.35">
      <c r="F466" s="19"/>
      <c r="G466" s="20"/>
    </row>
    <row r="467" spans="6:7" s="18" customFormat="1" ht="14.25" customHeight="1" x14ac:dyDescent="0.35">
      <c r="F467" s="19"/>
      <c r="G467" s="20"/>
    </row>
    <row r="468" spans="6:7" s="18" customFormat="1" ht="14.25" customHeight="1" x14ac:dyDescent="0.35">
      <c r="F468" s="19"/>
      <c r="G468" s="20"/>
    </row>
    <row r="469" spans="6:7" s="18" customFormat="1" ht="14.25" customHeight="1" x14ac:dyDescent="0.35">
      <c r="F469" s="19"/>
      <c r="G469" s="20"/>
    </row>
    <row r="470" spans="6:7" s="18" customFormat="1" ht="14.25" customHeight="1" x14ac:dyDescent="0.35">
      <c r="F470" s="19"/>
      <c r="G470" s="20"/>
    </row>
    <row r="471" spans="6:7" s="18" customFormat="1" ht="14.25" customHeight="1" x14ac:dyDescent="0.35">
      <c r="F471" s="19"/>
      <c r="G471" s="20"/>
    </row>
    <row r="472" spans="6:7" s="18" customFormat="1" ht="14.25" customHeight="1" x14ac:dyDescent="0.35">
      <c r="F472" s="19"/>
      <c r="G472" s="20"/>
    </row>
    <row r="473" spans="6:7" s="18" customFormat="1" ht="14.25" customHeight="1" x14ac:dyDescent="0.35">
      <c r="F473" s="19"/>
      <c r="G473" s="20"/>
    </row>
    <row r="474" spans="6:7" s="18" customFormat="1" ht="14.25" customHeight="1" x14ac:dyDescent="0.35">
      <c r="F474" s="19"/>
      <c r="G474" s="20"/>
    </row>
    <row r="475" spans="6:7" s="18" customFormat="1" ht="14.25" customHeight="1" x14ac:dyDescent="0.35">
      <c r="F475" s="19"/>
      <c r="G475" s="20"/>
    </row>
    <row r="476" spans="6:7" s="18" customFormat="1" ht="14.25" customHeight="1" x14ac:dyDescent="0.35">
      <c r="F476" s="19"/>
      <c r="G476" s="20"/>
    </row>
    <row r="477" spans="6:7" s="18" customFormat="1" ht="14.25" customHeight="1" x14ac:dyDescent="0.35">
      <c r="F477" s="19"/>
      <c r="G477" s="20"/>
    </row>
    <row r="478" spans="6:7" s="18" customFormat="1" ht="14.25" customHeight="1" x14ac:dyDescent="0.35">
      <c r="F478" s="19"/>
      <c r="G478" s="20"/>
    </row>
    <row r="479" spans="6:7" s="18" customFormat="1" ht="14.25" customHeight="1" x14ac:dyDescent="0.35">
      <c r="F479" s="19"/>
      <c r="G479" s="20"/>
    </row>
    <row r="480" spans="6:7" s="18" customFormat="1" ht="14.25" customHeight="1" x14ac:dyDescent="0.35">
      <c r="F480" s="19"/>
      <c r="G480" s="20"/>
    </row>
    <row r="481" spans="6:7" s="18" customFormat="1" ht="14.25" customHeight="1" x14ac:dyDescent="0.35">
      <c r="F481" s="19"/>
      <c r="G481" s="20"/>
    </row>
    <row r="482" spans="6:7" s="18" customFormat="1" ht="14.25" customHeight="1" x14ac:dyDescent="0.35">
      <c r="F482" s="19"/>
      <c r="G482" s="20"/>
    </row>
    <row r="483" spans="6:7" s="18" customFormat="1" ht="14.25" customHeight="1" x14ac:dyDescent="0.35">
      <c r="F483" s="19"/>
      <c r="G483" s="20"/>
    </row>
    <row r="484" spans="6:7" s="18" customFormat="1" ht="14.25" customHeight="1" x14ac:dyDescent="0.35">
      <c r="F484" s="19"/>
      <c r="G484" s="20"/>
    </row>
    <row r="485" spans="6:7" s="18" customFormat="1" ht="14.25" customHeight="1" x14ac:dyDescent="0.35">
      <c r="F485" s="19"/>
      <c r="G485" s="20"/>
    </row>
    <row r="486" spans="6:7" s="18" customFormat="1" ht="14.25" customHeight="1" x14ac:dyDescent="0.35">
      <c r="F486" s="19"/>
      <c r="G486" s="20"/>
    </row>
    <row r="487" spans="6:7" s="18" customFormat="1" ht="14.25" customHeight="1" x14ac:dyDescent="0.35">
      <c r="F487" s="19"/>
      <c r="G487" s="20"/>
    </row>
    <row r="488" spans="6:7" s="18" customFormat="1" ht="14.25" customHeight="1" x14ac:dyDescent="0.35">
      <c r="F488" s="19"/>
      <c r="G488" s="20"/>
    </row>
    <row r="489" spans="6:7" s="18" customFormat="1" ht="14.25" customHeight="1" x14ac:dyDescent="0.35">
      <c r="F489" s="19"/>
      <c r="G489" s="20"/>
    </row>
    <row r="490" spans="6:7" s="18" customFormat="1" ht="14.25" customHeight="1" x14ac:dyDescent="0.35">
      <c r="F490" s="19"/>
      <c r="G490" s="20"/>
    </row>
    <row r="491" spans="6:7" ht="14.25" customHeight="1" x14ac:dyDescent="0.35">
      <c r="F491" s="2"/>
      <c r="G491" s="3"/>
    </row>
    <row r="492" spans="6:7" ht="14.25" customHeight="1" x14ac:dyDescent="0.35">
      <c r="F492" s="2"/>
      <c r="G492" s="3"/>
    </row>
    <row r="493" spans="6:7" ht="14.25" customHeight="1" x14ac:dyDescent="0.35">
      <c r="F493" s="2"/>
      <c r="G493" s="3"/>
    </row>
    <row r="494" spans="6:7" ht="14.25" customHeight="1" x14ac:dyDescent="0.35">
      <c r="F494" s="2"/>
      <c r="G494" s="3"/>
    </row>
    <row r="495" spans="6:7" ht="14.25" customHeight="1" x14ac:dyDescent="0.35">
      <c r="F495" s="2"/>
      <c r="G495" s="3"/>
    </row>
    <row r="496" spans="6:7" ht="14.25" customHeight="1" x14ac:dyDescent="0.35">
      <c r="F496" s="2"/>
      <c r="G496" s="3"/>
    </row>
    <row r="497" spans="6:7" ht="14.25" customHeight="1" x14ac:dyDescent="0.35">
      <c r="F497" s="2"/>
      <c r="G497" s="3"/>
    </row>
    <row r="498" spans="6:7" ht="14.25" customHeight="1" x14ac:dyDescent="0.35">
      <c r="F498" s="2"/>
      <c r="G498" s="3"/>
    </row>
    <row r="499" spans="6:7" ht="14.25" customHeight="1" x14ac:dyDescent="0.35">
      <c r="F499" s="2"/>
      <c r="G499" s="3"/>
    </row>
    <row r="500" spans="6:7" ht="14.25" customHeight="1" x14ac:dyDescent="0.35">
      <c r="F500" s="2"/>
      <c r="G500" s="3"/>
    </row>
    <row r="501" spans="6:7" ht="14.25" customHeight="1" x14ac:dyDescent="0.35">
      <c r="F501" s="2"/>
      <c r="G501" s="3"/>
    </row>
    <row r="502" spans="6:7" ht="14.25" customHeight="1" x14ac:dyDescent="0.35">
      <c r="F502" s="2"/>
      <c r="G502" s="3"/>
    </row>
    <row r="503" spans="6:7" ht="14.25" customHeight="1" x14ac:dyDescent="0.35">
      <c r="F503" s="2"/>
      <c r="G503" s="3"/>
    </row>
    <row r="504" spans="6:7" ht="14.25" customHeight="1" x14ac:dyDescent="0.35">
      <c r="F504" s="2"/>
      <c r="G504" s="3"/>
    </row>
    <row r="505" spans="6:7" ht="14.25" customHeight="1" x14ac:dyDescent="0.35">
      <c r="F505" s="2"/>
      <c r="G505" s="3"/>
    </row>
    <row r="506" spans="6:7" ht="14.25" customHeight="1" x14ac:dyDescent="0.35">
      <c r="F506" s="2"/>
      <c r="G506" s="3"/>
    </row>
    <row r="507" spans="6:7" ht="14.25" customHeight="1" x14ac:dyDescent="0.35">
      <c r="F507" s="2"/>
      <c r="G507" s="3"/>
    </row>
    <row r="508" spans="6:7" ht="14.25" customHeight="1" x14ac:dyDescent="0.35">
      <c r="F508" s="2"/>
      <c r="G508" s="3"/>
    </row>
    <row r="509" spans="6:7" ht="14.25" customHeight="1" x14ac:dyDescent="0.35">
      <c r="F509" s="2"/>
      <c r="G509" s="3"/>
    </row>
    <row r="510" spans="6:7" ht="14.25" customHeight="1" x14ac:dyDescent="0.35">
      <c r="F510" s="2"/>
      <c r="G510" s="3"/>
    </row>
    <row r="511" spans="6:7" ht="14.25" customHeight="1" x14ac:dyDescent="0.35">
      <c r="F511" s="2"/>
      <c r="G511" s="3"/>
    </row>
    <row r="512" spans="6:7" ht="14.25" customHeight="1" x14ac:dyDescent="0.35">
      <c r="F512" s="2"/>
      <c r="G512" s="3"/>
    </row>
    <row r="513" spans="6:7" ht="14.25" customHeight="1" x14ac:dyDescent="0.35">
      <c r="F513" s="2"/>
      <c r="G513" s="3"/>
    </row>
    <row r="514" spans="6:7" ht="14.25" customHeight="1" x14ac:dyDescent="0.35">
      <c r="F514" s="2"/>
      <c r="G514" s="3"/>
    </row>
    <row r="515" spans="6:7" ht="14.25" customHeight="1" x14ac:dyDescent="0.35">
      <c r="F515" s="2"/>
      <c r="G515" s="3"/>
    </row>
    <row r="516" spans="6:7" ht="14.25" customHeight="1" x14ac:dyDescent="0.35">
      <c r="F516" s="2"/>
      <c r="G516" s="3"/>
    </row>
    <row r="517" spans="6:7" ht="14.25" customHeight="1" x14ac:dyDescent="0.35">
      <c r="F517" s="2"/>
      <c r="G517" s="3"/>
    </row>
    <row r="518" spans="6:7" ht="14.25" customHeight="1" x14ac:dyDescent="0.35">
      <c r="F518" s="2"/>
      <c r="G518" s="3"/>
    </row>
    <row r="519" spans="6:7" ht="14.25" customHeight="1" x14ac:dyDescent="0.35">
      <c r="F519" s="2"/>
      <c r="G519" s="3"/>
    </row>
    <row r="520" spans="6:7" ht="14.25" customHeight="1" x14ac:dyDescent="0.35">
      <c r="F520" s="2"/>
      <c r="G520" s="3"/>
    </row>
    <row r="521" spans="6:7" ht="14.25" customHeight="1" x14ac:dyDescent="0.35">
      <c r="F521" s="2"/>
      <c r="G521" s="3"/>
    </row>
    <row r="522" spans="6:7" ht="14.25" customHeight="1" x14ac:dyDescent="0.35">
      <c r="F522" s="2"/>
      <c r="G522" s="3"/>
    </row>
    <row r="523" spans="6:7" ht="14.25" customHeight="1" x14ac:dyDescent="0.35">
      <c r="F523" s="2"/>
      <c r="G523" s="3"/>
    </row>
    <row r="524" spans="6:7" ht="14.25" customHeight="1" x14ac:dyDescent="0.35">
      <c r="F524" s="2"/>
      <c r="G524" s="3"/>
    </row>
    <row r="525" spans="6:7" ht="14.25" customHeight="1" x14ac:dyDescent="0.35">
      <c r="F525" s="2"/>
      <c r="G525" s="3"/>
    </row>
    <row r="526" spans="6:7" ht="14.25" customHeight="1" x14ac:dyDescent="0.35">
      <c r="F526" s="2"/>
      <c r="G526" s="3"/>
    </row>
    <row r="527" spans="6:7" ht="14.25" customHeight="1" x14ac:dyDescent="0.35">
      <c r="F527" s="2"/>
      <c r="G527" s="3"/>
    </row>
    <row r="528" spans="6:7" ht="14.25" customHeight="1" x14ac:dyDescent="0.35">
      <c r="F528" s="2"/>
      <c r="G528" s="3"/>
    </row>
    <row r="529" spans="6:7" ht="14.25" customHeight="1" x14ac:dyDescent="0.35">
      <c r="F529" s="2"/>
      <c r="G529" s="3"/>
    </row>
    <row r="530" spans="6:7" ht="14.25" customHeight="1" x14ac:dyDescent="0.35">
      <c r="F530" s="2"/>
      <c r="G530" s="3"/>
    </row>
    <row r="531" spans="6:7" ht="14.25" customHeight="1" x14ac:dyDescent="0.35">
      <c r="F531" s="2"/>
      <c r="G531" s="3"/>
    </row>
    <row r="532" spans="6:7" ht="14.25" customHeight="1" x14ac:dyDescent="0.35">
      <c r="F532" s="2"/>
      <c r="G532" s="3"/>
    </row>
    <row r="533" spans="6:7" ht="14.25" customHeight="1" x14ac:dyDescent="0.35">
      <c r="F533" s="2"/>
      <c r="G533" s="3"/>
    </row>
    <row r="534" spans="6:7" ht="14.25" customHeight="1" x14ac:dyDescent="0.35">
      <c r="F534" s="2"/>
      <c r="G534" s="3"/>
    </row>
    <row r="535" spans="6:7" ht="14.25" customHeight="1" x14ac:dyDescent="0.35">
      <c r="F535" s="2"/>
      <c r="G535" s="3"/>
    </row>
    <row r="536" spans="6:7" ht="14.25" customHeight="1" x14ac:dyDescent="0.35">
      <c r="F536" s="2"/>
      <c r="G536" s="3"/>
    </row>
    <row r="537" spans="6:7" ht="14.25" customHeight="1" x14ac:dyDescent="0.35">
      <c r="F537" s="2"/>
      <c r="G537" s="3"/>
    </row>
    <row r="538" spans="6:7" ht="14.25" customHeight="1" x14ac:dyDescent="0.35">
      <c r="F538" s="2"/>
      <c r="G538" s="3"/>
    </row>
    <row r="539" spans="6:7" ht="14.25" customHeight="1" x14ac:dyDescent="0.35">
      <c r="F539" s="2"/>
      <c r="G539" s="3"/>
    </row>
    <row r="540" spans="6:7" ht="14.25" customHeight="1" x14ac:dyDescent="0.35">
      <c r="F540" s="2"/>
      <c r="G540" s="3"/>
    </row>
    <row r="541" spans="6:7" ht="14.25" customHeight="1" x14ac:dyDescent="0.35">
      <c r="F541" s="2"/>
      <c r="G541" s="3"/>
    </row>
    <row r="542" spans="6:7" ht="14.25" customHeight="1" x14ac:dyDescent="0.35">
      <c r="F542" s="2"/>
      <c r="G542" s="3"/>
    </row>
    <row r="543" spans="6:7" ht="14.25" customHeight="1" x14ac:dyDescent="0.35">
      <c r="F543" s="2"/>
      <c r="G543" s="3"/>
    </row>
    <row r="544" spans="6:7" ht="14.25" customHeight="1" x14ac:dyDescent="0.35">
      <c r="F544" s="2"/>
      <c r="G544" s="3"/>
    </row>
    <row r="545" spans="6:7" ht="14.25" customHeight="1" x14ac:dyDescent="0.35">
      <c r="F545" s="2"/>
      <c r="G545" s="3"/>
    </row>
    <row r="546" spans="6:7" ht="14.25" customHeight="1" x14ac:dyDescent="0.35">
      <c r="F546" s="2"/>
      <c r="G546" s="3"/>
    </row>
    <row r="547" spans="6:7" ht="14.25" customHeight="1" x14ac:dyDescent="0.35">
      <c r="F547" s="2"/>
      <c r="G547" s="3"/>
    </row>
    <row r="548" spans="6:7" ht="14.25" customHeight="1" x14ac:dyDescent="0.35">
      <c r="F548" s="2"/>
      <c r="G548" s="3"/>
    </row>
    <row r="549" spans="6:7" ht="14.25" customHeight="1" x14ac:dyDescent="0.35">
      <c r="F549" s="2"/>
      <c r="G549" s="3"/>
    </row>
    <row r="550" spans="6:7" ht="14.25" customHeight="1" x14ac:dyDescent="0.35">
      <c r="F550" s="2"/>
      <c r="G550" s="3"/>
    </row>
    <row r="551" spans="6:7" ht="14.25" customHeight="1" x14ac:dyDescent="0.35">
      <c r="F551" s="2"/>
      <c r="G551" s="3"/>
    </row>
    <row r="552" spans="6:7" ht="14.25" customHeight="1" x14ac:dyDescent="0.35">
      <c r="F552" s="2"/>
      <c r="G552" s="3"/>
    </row>
    <row r="553" spans="6:7" ht="14.25" customHeight="1" x14ac:dyDescent="0.35">
      <c r="F553" s="2"/>
      <c r="G553" s="3"/>
    </row>
    <row r="554" spans="6:7" ht="14.25" customHeight="1" x14ac:dyDescent="0.35">
      <c r="F554" s="2"/>
      <c r="G554" s="3"/>
    </row>
    <row r="555" spans="6:7" ht="14.25" customHeight="1" x14ac:dyDescent="0.35">
      <c r="F555" s="2"/>
      <c r="G555" s="3"/>
    </row>
    <row r="556" spans="6:7" ht="14.25" customHeight="1" x14ac:dyDescent="0.35">
      <c r="F556" s="2"/>
      <c r="G556" s="3"/>
    </row>
    <row r="557" spans="6:7" ht="14.25" customHeight="1" x14ac:dyDescent="0.35">
      <c r="F557" s="2"/>
      <c r="G557" s="3"/>
    </row>
    <row r="558" spans="6:7" ht="14.25" customHeight="1" x14ac:dyDescent="0.35">
      <c r="F558" s="2"/>
      <c r="G558" s="3"/>
    </row>
    <row r="559" spans="6:7" ht="14.25" customHeight="1" x14ac:dyDescent="0.35">
      <c r="F559" s="2"/>
      <c r="G559" s="3"/>
    </row>
    <row r="560" spans="6:7" ht="14.25" customHeight="1" x14ac:dyDescent="0.35">
      <c r="F560" s="2"/>
      <c r="G560" s="3"/>
    </row>
    <row r="561" spans="6:7" ht="14.25" customHeight="1" x14ac:dyDescent="0.35">
      <c r="F561" s="2"/>
      <c r="G561" s="3"/>
    </row>
    <row r="562" spans="6:7" ht="14.25" customHeight="1" x14ac:dyDescent="0.35">
      <c r="F562" s="2"/>
      <c r="G562" s="3"/>
    </row>
    <row r="563" spans="6:7" ht="14.25" customHeight="1" x14ac:dyDescent="0.35">
      <c r="F563" s="2"/>
      <c r="G563" s="3"/>
    </row>
    <row r="564" spans="6:7" ht="14.25" customHeight="1" x14ac:dyDescent="0.35">
      <c r="F564" s="2"/>
      <c r="G564" s="3"/>
    </row>
    <row r="565" spans="6:7" ht="14.25" customHeight="1" x14ac:dyDescent="0.35">
      <c r="F565" s="2"/>
      <c r="G565" s="3"/>
    </row>
    <row r="566" spans="6:7" ht="14.25" customHeight="1" x14ac:dyDescent="0.35">
      <c r="F566" s="2"/>
      <c r="G566" s="3"/>
    </row>
    <row r="567" spans="6:7" ht="14.25" customHeight="1" x14ac:dyDescent="0.35">
      <c r="F567" s="2"/>
      <c r="G567" s="3"/>
    </row>
    <row r="568" spans="6:7" ht="14.25" customHeight="1" x14ac:dyDescent="0.35">
      <c r="F568" s="2"/>
      <c r="G568" s="3"/>
    </row>
    <row r="569" spans="6:7" ht="14.25" customHeight="1" x14ac:dyDescent="0.35">
      <c r="F569" s="2"/>
      <c r="G569" s="3"/>
    </row>
    <row r="570" spans="6:7" ht="14.25" customHeight="1" x14ac:dyDescent="0.35">
      <c r="F570" s="2"/>
      <c r="G570" s="3"/>
    </row>
    <row r="571" spans="6:7" ht="14.25" customHeight="1" x14ac:dyDescent="0.35">
      <c r="F571" s="2"/>
      <c r="G571" s="3"/>
    </row>
    <row r="572" spans="6:7" ht="14.25" customHeight="1" x14ac:dyDescent="0.35">
      <c r="F572" s="2"/>
      <c r="G572" s="3"/>
    </row>
    <row r="573" spans="6:7" ht="14.25" customHeight="1" x14ac:dyDescent="0.35">
      <c r="F573" s="2"/>
      <c r="G573" s="3"/>
    </row>
    <row r="574" spans="6:7" ht="14.25" customHeight="1" x14ac:dyDescent="0.35">
      <c r="F574" s="2"/>
      <c r="G574" s="3"/>
    </row>
    <row r="575" spans="6:7" ht="14.25" customHeight="1" x14ac:dyDescent="0.35">
      <c r="F575" s="2"/>
      <c r="G575" s="3"/>
    </row>
    <row r="576" spans="6:7" ht="14.25" customHeight="1" x14ac:dyDescent="0.35">
      <c r="F576" s="2"/>
      <c r="G576" s="3"/>
    </row>
    <row r="577" spans="6:7" ht="14.25" customHeight="1" x14ac:dyDescent="0.35">
      <c r="F577" s="2"/>
      <c r="G577" s="3"/>
    </row>
    <row r="578" spans="6:7" ht="14.25" customHeight="1" x14ac:dyDescent="0.35">
      <c r="F578" s="2"/>
      <c r="G578" s="3"/>
    </row>
    <row r="579" spans="6:7" ht="14.25" customHeight="1" x14ac:dyDescent="0.35">
      <c r="F579" s="2"/>
      <c r="G579" s="3"/>
    </row>
    <row r="580" spans="6:7" ht="14.25" customHeight="1" x14ac:dyDescent="0.35">
      <c r="F580" s="2"/>
      <c r="G580" s="3"/>
    </row>
    <row r="581" spans="6:7" ht="14.25" customHeight="1" x14ac:dyDescent="0.35">
      <c r="F581" s="2"/>
      <c r="G581" s="3"/>
    </row>
    <row r="582" spans="6:7" ht="14.25" customHeight="1" x14ac:dyDescent="0.35">
      <c r="F582" s="2"/>
      <c r="G582" s="3"/>
    </row>
    <row r="583" spans="6:7" ht="14.25" customHeight="1" x14ac:dyDescent="0.35">
      <c r="F583" s="2"/>
      <c r="G583" s="3"/>
    </row>
    <row r="584" spans="6:7" ht="14.25" customHeight="1" x14ac:dyDescent="0.35">
      <c r="F584" s="2"/>
      <c r="G584" s="3"/>
    </row>
    <row r="585" spans="6:7" ht="14.25" customHeight="1" x14ac:dyDescent="0.35">
      <c r="F585" s="2"/>
      <c r="G585" s="3"/>
    </row>
    <row r="586" spans="6:7" ht="14.25" customHeight="1" x14ac:dyDescent="0.35">
      <c r="F586" s="2"/>
      <c r="G586" s="3"/>
    </row>
    <row r="587" spans="6:7" ht="14.25" customHeight="1" x14ac:dyDescent="0.35">
      <c r="F587" s="2"/>
      <c r="G587" s="3"/>
    </row>
    <row r="588" spans="6:7" ht="14.25" customHeight="1" x14ac:dyDescent="0.35">
      <c r="F588" s="2"/>
      <c r="G588" s="3"/>
    </row>
    <row r="589" spans="6:7" ht="14.25" customHeight="1" x14ac:dyDescent="0.35">
      <c r="F589" s="2"/>
      <c r="G589" s="3"/>
    </row>
    <row r="590" spans="6:7" ht="14.25" customHeight="1" x14ac:dyDescent="0.35">
      <c r="F590" s="2"/>
      <c r="G590" s="3"/>
    </row>
    <row r="591" spans="6:7" ht="14.25" customHeight="1" x14ac:dyDescent="0.35">
      <c r="F591" s="2"/>
      <c r="G591" s="3"/>
    </row>
    <row r="592" spans="6:7" ht="14.25" customHeight="1" x14ac:dyDescent="0.35">
      <c r="F592" s="2"/>
      <c r="G592" s="3"/>
    </row>
    <row r="593" spans="6:7" ht="14.25" customHeight="1" x14ac:dyDescent="0.35">
      <c r="F593" s="2"/>
      <c r="G593" s="3"/>
    </row>
    <row r="594" spans="6:7" ht="14.25" customHeight="1" x14ac:dyDescent="0.35">
      <c r="F594" s="2"/>
      <c r="G594" s="3"/>
    </row>
    <row r="595" spans="6:7" ht="14.25" customHeight="1" x14ac:dyDescent="0.35">
      <c r="F595" s="2"/>
      <c r="G595" s="3"/>
    </row>
    <row r="596" spans="6:7" ht="14.25" customHeight="1" x14ac:dyDescent="0.35">
      <c r="F596" s="2"/>
      <c r="G596" s="3"/>
    </row>
    <row r="597" spans="6:7" ht="14.25" customHeight="1" x14ac:dyDescent="0.35">
      <c r="F597" s="2"/>
      <c r="G597" s="3"/>
    </row>
    <row r="598" spans="6:7" ht="14.25" customHeight="1" x14ac:dyDescent="0.35">
      <c r="F598" s="2"/>
      <c r="G598" s="3"/>
    </row>
    <row r="599" spans="6:7" ht="14.25" customHeight="1" x14ac:dyDescent="0.35">
      <c r="F599" s="2"/>
      <c r="G599" s="3"/>
    </row>
    <row r="600" spans="6:7" ht="14.25" customHeight="1" x14ac:dyDescent="0.35">
      <c r="F600" s="2"/>
      <c r="G600" s="3"/>
    </row>
    <row r="601" spans="6:7" ht="14.25" customHeight="1" x14ac:dyDescent="0.35">
      <c r="F601" s="2"/>
      <c r="G601" s="3"/>
    </row>
    <row r="602" spans="6:7" ht="14.25" customHeight="1" x14ac:dyDescent="0.35">
      <c r="F602" s="2"/>
      <c r="G602" s="3"/>
    </row>
    <row r="603" spans="6:7" ht="14.25" customHeight="1" x14ac:dyDescent="0.35">
      <c r="F603" s="2"/>
      <c r="G603" s="3"/>
    </row>
    <row r="604" spans="6:7" ht="14.25" customHeight="1" x14ac:dyDescent="0.35">
      <c r="F604" s="2"/>
      <c r="G604" s="3"/>
    </row>
    <row r="605" spans="6:7" ht="14.25" customHeight="1" x14ac:dyDescent="0.35">
      <c r="F605" s="2"/>
      <c r="G605" s="3"/>
    </row>
    <row r="606" spans="6:7" ht="14.25" customHeight="1" x14ac:dyDescent="0.35">
      <c r="F606" s="2"/>
      <c r="G606" s="3"/>
    </row>
    <row r="607" spans="6:7" ht="14.25" customHeight="1" x14ac:dyDescent="0.35">
      <c r="F607" s="2"/>
      <c r="G607" s="3"/>
    </row>
    <row r="608" spans="6:7" ht="14.25" customHeight="1" x14ac:dyDescent="0.35">
      <c r="F608" s="2"/>
      <c r="G608" s="3"/>
    </row>
    <row r="609" spans="6:7" ht="14.25" customHeight="1" x14ac:dyDescent="0.35">
      <c r="F609" s="2"/>
      <c r="G609" s="3"/>
    </row>
    <row r="610" spans="6:7" ht="14.25" customHeight="1" x14ac:dyDescent="0.35">
      <c r="F610" s="2"/>
      <c r="G610" s="3"/>
    </row>
    <row r="611" spans="6:7" ht="14.25" customHeight="1" x14ac:dyDescent="0.35">
      <c r="F611" s="2"/>
      <c r="G611" s="3"/>
    </row>
    <row r="612" spans="6:7" ht="14.25" customHeight="1" x14ac:dyDescent="0.35">
      <c r="F612" s="2"/>
      <c r="G612" s="3"/>
    </row>
    <row r="613" spans="6:7" ht="14.25" customHeight="1" x14ac:dyDescent="0.35">
      <c r="F613" s="2"/>
      <c r="G613" s="3"/>
    </row>
    <row r="614" spans="6:7" ht="14.25" customHeight="1" x14ac:dyDescent="0.35">
      <c r="F614" s="2"/>
      <c r="G614" s="3"/>
    </row>
    <row r="615" spans="6:7" ht="14.25" customHeight="1" x14ac:dyDescent="0.35">
      <c r="F615" s="2"/>
      <c r="G615" s="3"/>
    </row>
    <row r="616" spans="6:7" ht="14.25" customHeight="1" x14ac:dyDescent="0.35">
      <c r="F616" s="2"/>
      <c r="G616" s="3"/>
    </row>
    <row r="617" spans="6:7" ht="14.25" customHeight="1" x14ac:dyDescent="0.35">
      <c r="F617" s="2"/>
      <c r="G617" s="3"/>
    </row>
    <row r="618" spans="6:7" ht="14.25" customHeight="1" x14ac:dyDescent="0.35">
      <c r="F618" s="2"/>
      <c r="G618" s="3"/>
    </row>
    <row r="619" spans="6:7" ht="14.25" customHeight="1" x14ac:dyDescent="0.35">
      <c r="F619" s="2"/>
      <c r="G619" s="3"/>
    </row>
    <row r="620" spans="6:7" ht="14.25" customHeight="1" x14ac:dyDescent="0.35">
      <c r="F620" s="2"/>
      <c r="G620" s="3"/>
    </row>
    <row r="621" spans="6:7" ht="14.25" customHeight="1" x14ac:dyDescent="0.35">
      <c r="F621" s="2"/>
      <c r="G621" s="3"/>
    </row>
    <row r="622" spans="6:7" ht="14.25" customHeight="1" x14ac:dyDescent="0.35">
      <c r="F622" s="2"/>
      <c r="G622" s="3"/>
    </row>
    <row r="623" spans="6:7" ht="14.25" customHeight="1" x14ac:dyDescent="0.35">
      <c r="F623" s="2"/>
      <c r="G623" s="3"/>
    </row>
    <row r="624" spans="6:7" ht="14.25" customHeight="1" x14ac:dyDescent="0.35">
      <c r="F624" s="2"/>
      <c r="G624" s="3"/>
    </row>
    <row r="625" spans="6:7" ht="14.25" customHeight="1" x14ac:dyDescent="0.35">
      <c r="F625" s="2"/>
      <c r="G625" s="3"/>
    </row>
    <row r="626" spans="6:7" ht="14.25" customHeight="1" x14ac:dyDescent="0.35">
      <c r="F626" s="2"/>
      <c r="G626" s="3"/>
    </row>
    <row r="627" spans="6:7" ht="14.25" customHeight="1" x14ac:dyDescent="0.35">
      <c r="F627" s="2"/>
      <c r="G627" s="3"/>
    </row>
    <row r="628" spans="6:7" ht="14.25" customHeight="1" x14ac:dyDescent="0.35">
      <c r="F628" s="2"/>
      <c r="G628" s="3"/>
    </row>
    <row r="629" spans="6:7" ht="14.25" customHeight="1" x14ac:dyDescent="0.35">
      <c r="F629" s="2"/>
      <c r="G629" s="3"/>
    </row>
    <row r="630" spans="6:7" ht="14.25" customHeight="1" x14ac:dyDescent="0.35">
      <c r="F630" s="2"/>
      <c r="G630" s="3"/>
    </row>
    <row r="631" spans="6:7" ht="14.25" customHeight="1" x14ac:dyDescent="0.35">
      <c r="F631" s="2"/>
      <c r="G631" s="3"/>
    </row>
    <row r="632" spans="6:7" ht="14.25" customHeight="1" x14ac:dyDescent="0.35">
      <c r="F632" s="2"/>
      <c r="G632" s="3"/>
    </row>
    <row r="633" spans="6:7" ht="14.25" customHeight="1" x14ac:dyDescent="0.35">
      <c r="F633" s="2"/>
      <c r="G633" s="3"/>
    </row>
    <row r="634" spans="6:7" ht="14.25" customHeight="1" x14ac:dyDescent="0.35">
      <c r="F634" s="2"/>
      <c r="G634" s="3"/>
    </row>
    <row r="635" spans="6:7" ht="14.25" customHeight="1" x14ac:dyDescent="0.35">
      <c r="F635" s="2"/>
      <c r="G635" s="3"/>
    </row>
    <row r="636" spans="6:7" ht="14.25" customHeight="1" x14ac:dyDescent="0.35">
      <c r="F636" s="2"/>
      <c r="G636" s="3"/>
    </row>
    <row r="637" spans="6:7" ht="14.25" customHeight="1" x14ac:dyDescent="0.35">
      <c r="F637" s="2"/>
      <c r="G637" s="3"/>
    </row>
    <row r="638" spans="6:7" ht="14.25" customHeight="1" x14ac:dyDescent="0.35">
      <c r="F638" s="2"/>
      <c r="G638" s="3"/>
    </row>
    <row r="639" spans="6:7" ht="14.25" customHeight="1" x14ac:dyDescent="0.35">
      <c r="F639" s="2"/>
      <c r="G639" s="3"/>
    </row>
    <row r="640" spans="6:7" ht="14.25" customHeight="1" x14ac:dyDescent="0.35">
      <c r="F640" s="2"/>
      <c r="G640" s="3"/>
    </row>
    <row r="641" spans="6:7" ht="14.25" customHeight="1" x14ac:dyDescent="0.35">
      <c r="F641" s="2"/>
      <c r="G641" s="3"/>
    </row>
    <row r="642" spans="6:7" ht="14.25" customHeight="1" x14ac:dyDescent="0.35">
      <c r="F642" s="2"/>
      <c r="G642" s="3"/>
    </row>
    <row r="643" spans="6:7" ht="14.25" customHeight="1" x14ac:dyDescent="0.35">
      <c r="F643" s="2"/>
      <c r="G643" s="3"/>
    </row>
    <row r="644" spans="6:7" ht="14.25" customHeight="1" x14ac:dyDescent="0.35">
      <c r="F644" s="2"/>
      <c r="G644" s="3"/>
    </row>
    <row r="645" spans="6:7" ht="14.25" customHeight="1" x14ac:dyDescent="0.35">
      <c r="F645" s="2"/>
      <c r="G645" s="3"/>
    </row>
    <row r="646" spans="6:7" ht="14.25" customHeight="1" x14ac:dyDescent="0.35">
      <c r="F646" s="2"/>
      <c r="G646" s="3"/>
    </row>
    <row r="647" spans="6:7" ht="14.25" customHeight="1" x14ac:dyDescent="0.35">
      <c r="F647" s="2"/>
      <c r="G647" s="3"/>
    </row>
    <row r="648" spans="6:7" ht="14.25" customHeight="1" x14ac:dyDescent="0.35">
      <c r="F648" s="2"/>
      <c r="G648" s="3"/>
    </row>
    <row r="649" spans="6:7" ht="14.25" customHeight="1" x14ac:dyDescent="0.35">
      <c r="F649" s="2"/>
      <c r="G649" s="3"/>
    </row>
    <row r="650" spans="6:7" ht="14.25" customHeight="1" x14ac:dyDescent="0.35">
      <c r="F650" s="2"/>
      <c r="G650" s="3"/>
    </row>
    <row r="651" spans="6:7" ht="14.25" customHeight="1" x14ac:dyDescent="0.35">
      <c r="F651" s="2"/>
      <c r="G651" s="3"/>
    </row>
    <row r="652" spans="6:7" ht="14.25" customHeight="1" x14ac:dyDescent="0.35">
      <c r="F652" s="2"/>
      <c r="G652" s="3"/>
    </row>
    <row r="653" spans="6:7" ht="14.25" customHeight="1" x14ac:dyDescent="0.35">
      <c r="F653" s="2"/>
      <c r="G653" s="3"/>
    </row>
    <row r="654" spans="6:7" ht="14.25" customHeight="1" x14ac:dyDescent="0.35">
      <c r="F654" s="2"/>
      <c r="G654" s="3"/>
    </row>
    <row r="655" spans="6:7" ht="14.25" customHeight="1" x14ac:dyDescent="0.35">
      <c r="F655" s="2"/>
      <c r="G655" s="3"/>
    </row>
    <row r="656" spans="6:7" ht="14.25" customHeight="1" x14ac:dyDescent="0.35">
      <c r="F656" s="2"/>
      <c r="G656" s="3"/>
    </row>
    <row r="657" spans="6:7" ht="14.25" customHeight="1" x14ac:dyDescent="0.35">
      <c r="F657" s="2"/>
      <c r="G657" s="3"/>
    </row>
    <row r="658" spans="6:7" ht="14.25" customHeight="1" x14ac:dyDescent="0.35">
      <c r="F658" s="2"/>
      <c r="G658" s="3"/>
    </row>
    <row r="659" spans="6:7" ht="14.25" customHeight="1" x14ac:dyDescent="0.35">
      <c r="F659" s="2"/>
      <c r="G659" s="3"/>
    </row>
    <row r="660" spans="6:7" ht="14.25" customHeight="1" x14ac:dyDescent="0.35">
      <c r="F660" s="2"/>
      <c r="G660" s="3"/>
    </row>
    <row r="661" spans="6:7" ht="14.25" customHeight="1" x14ac:dyDescent="0.35">
      <c r="F661" s="2"/>
      <c r="G661" s="3"/>
    </row>
    <row r="662" spans="6:7" ht="14.25" customHeight="1" x14ac:dyDescent="0.35">
      <c r="F662" s="2"/>
      <c r="G662" s="3"/>
    </row>
    <row r="663" spans="6:7" ht="14.25" customHeight="1" x14ac:dyDescent="0.35">
      <c r="F663" s="2"/>
      <c r="G663" s="3"/>
    </row>
    <row r="664" spans="6:7" ht="14.25" customHeight="1" x14ac:dyDescent="0.35">
      <c r="F664" s="2"/>
      <c r="G664" s="3"/>
    </row>
    <row r="665" spans="6:7" ht="14.25" customHeight="1" x14ac:dyDescent="0.35">
      <c r="F665" s="2"/>
      <c r="G665" s="3"/>
    </row>
    <row r="666" spans="6:7" ht="14.25" customHeight="1" x14ac:dyDescent="0.35">
      <c r="F666" s="2"/>
      <c r="G666" s="3"/>
    </row>
    <row r="667" spans="6:7" ht="14.25" customHeight="1" x14ac:dyDescent="0.35">
      <c r="F667" s="2"/>
      <c r="G667" s="3"/>
    </row>
    <row r="668" spans="6:7" ht="14.25" customHeight="1" x14ac:dyDescent="0.35">
      <c r="F668" s="2"/>
      <c r="G668" s="3"/>
    </row>
    <row r="669" spans="6:7" ht="14.25" customHeight="1" x14ac:dyDescent="0.35">
      <c r="F669" s="2"/>
      <c r="G669" s="3"/>
    </row>
    <row r="670" spans="6:7" ht="14.25" customHeight="1" x14ac:dyDescent="0.35">
      <c r="F670" s="2"/>
      <c r="G670" s="3"/>
    </row>
    <row r="671" spans="6:7" ht="14.25" customHeight="1" x14ac:dyDescent="0.35">
      <c r="F671" s="2"/>
      <c r="G671" s="3"/>
    </row>
    <row r="672" spans="6:7" ht="14.25" customHeight="1" x14ac:dyDescent="0.35">
      <c r="F672" s="2"/>
      <c r="G672" s="3"/>
    </row>
    <row r="673" spans="6:7" ht="14.25" customHeight="1" x14ac:dyDescent="0.35">
      <c r="F673" s="2"/>
      <c r="G673" s="3"/>
    </row>
    <row r="674" spans="6:7" ht="14.25" customHeight="1" x14ac:dyDescent="0.35">
      <c r="F674" s="2"/>
      <c r="G674" s="3"/>
    </row>
    <row r="675" spans="6:7" ht="14.25" customHeight="1" x14ac:dyDescent="0.35">
      <c r="F675" s="2"/>
      <c r="G675" s="3"/>
    </row>
    <row r="676" spans="6:7" ht="14.25" customHeight="1" x14ac:dyDescent="0.35">
      <c r="F676" s="2"/>
      <c r="G676" s="3"/>
    </row>
    <row r="677" spans="6:7" ht="14.25" customHeight="1" x14ac:dyDescent="0.35">
      <c r="F677" s="2"/>
      <c r="G677" s="3"/>
    </row>
    <row r="678" spans="6:7" ht="14.25" customHeight="1" x14ac:dyDescent="0.35">
      <c r="F678" s="2"/>
      <c r="G678" s="3"/>
    </row>
    <row r="679" spans="6:7" ht="14.25" customHeight="1" x14ac:dyDescent="0.35">
      <c r="F679" s="2"/>
      <c r="G679" s="3"/>
    </row>
    <row r="680" spans="6:7" ht="14.25" customHeight="1" x14ac:dyDescent="0.35">
      <c r="F680" s="2"/>
      <c r="G680" s="3"/>
    </row>
    <row r="681" spans="6:7" ht="14.25" customHeight="1" x14ac:dyDescent="0.35">
      <c r="F681" s="2"/>
      <c r="G681" s="3"/>
    </row>
    <row r="682" spans="6:7" ht="14.25" customHeight="1" x14ac:dyDescent="0.35">
      <c r="F682" s="2"/>
      <c r="G682" s="3"/>
    </row>
    <row r="683" spans="6:7" ht="14.25" customHeight="1" x14ac:dyDescent="0.35">
      <c r="F683" s="2"/>
      <c r="G683" s="3"/>
    </row>
    <row r="684" spans="6:7" ht="14.25" customHeight="1" x14ac:dyDescent="0.35">
      <c r="F684" s="2"/>
      <c r="G684" s="3"/>
    </row>
    <row r="685" spans="6:7" ht="14.25" customHeight="1" x14ac:dyDescent="0.35">
      <c r="F685" s="2"/>
      <c r="G685" s="3"/>
    </row>
    <row r="686" spans="6:7" ht="14.25" customHeight="1" x14ac:dyDescent="0.35">
      <c r="F686" s="2"/>
      <c r="G686" s="3"/>
    </row>
    <row r="687" spans="6:7" ht="14.25" customHeight="1" x14ac:dyDescent="0.35">
      <c r="F687" s="2"/>
      <c r="G687" s="3"/>
    </row>
    <row r="688" spans="6:7" ht="14.25" customHeight="1" x14ac:dyDescent="0.35">
      <c r="F688" s="2"/>
      <c r="G688" s="3"/>
    </row>
    <row r="689" spans="6:7" ht="14.25" customHeight="1" x14ac:dyDescent="0.35">
      <c r="F689" s="2"/>
      <c r="G689" s="3"/>
    </row>
    <row r="690" spans="6:7" ht="14.25" customHeight="1" x14ac:dyDescent="0.35">
      <c r="F690" s="2"/>
      <c r="G690" s="3"/>
    </row>
    <row r="691" spans="6:7" ht="14.25" customHeight="1" x14ac:dyDescent="0.35">
      <c r="F691" s="2"/>
      <c r="G691" s="3"/>
    </row>
    <row r="692" spans="6:7" ht="14.25" customHeight="1" x14ac:dyDescent="0.35">
      <c r="F692" s="2"/>
      <c r="G692" s="3"/>
    </row>
    <row r="693" spans="6:7" ht="14.25" customHeight="1" x14ac:dyDescent="0.35">
      <c r="F693" s="2"/>
      <c r="G693" s="3"/>
    </row>
    <row r="694" spans="6:7" ht="14.25" customHeight="1" x14ac:dyDescent="0.35">
      <c r="F694" s="2"/>
      <c r="G694" s="3"/>
    </row>
    <row r="695" spans="6:7" ht="14.25" customHeight="1" x14ac:dyDescent="0.35">
      <c r="F695" s="2"/>
      <c r="G695" s="3"/>
    </row>
    <row r="696" spans="6:7" ht="14.25" customHeight="1" x14ac:dyDescent="0.35">
      <c r="F696" s="2"/>
      <c r="G696" s="3"/>
    </row>
    <row r="697" spans="6:7" ht="14.25" customHeight="1" x14ac:dyDescent="0.35">
      <c r="F697" s="2"/>
      <c r="G697" s="3"/>
    </row>
    <row r="698" spans="6:7" ht="14.25" customHeight="1" x14ac:dyDescent="0.35">
      <c r="F698" s="2"/>
      <c r="G698" s="3"/>
    </row>
    <row r="699" spans="6:7" ht="14.25" customHeight="1" x14ac:dyDescent="0.35">
      <c r="F699" s="2"/>
      <c r="G699" s="3"/>
    </row>
    <row r="700" spans="6:7" ht="14.25" customHeight="1" x14ac:dyDescent="0.35">
      <c r="F700" s="2"/>
      <c r="G700" s="3"/>
    </row>
    <row r="701" spans="6:7" ht="14.25" customHeight="1" x14ac:dyDescent="0.35">
      <c r="F701" s="2"/>
      <c r="G701" s="3"/>
    </row>
    <row r="702" spans="6:7" ht="14.25" customHeight="1" x14ac:dyDescent="0.35">
      <c r="F702" s="2"/>
      <c r="G702" s="3"/>
    </row>
    <row r="703" spans="6:7" ht="14.25" customHeight="1" x14ac:dyDescent="0.35">
      <c r="F703" s="2"/>
      <c r="G703" s="3"/>
    </row>
    <row r="704" spans="6:7" ht="14.25" customHeight="1" x14ac:dyDescent="0.35">
      <c r="F704" s="2"/>
      <c r="G704" s="3"/>
    </row>
    <row r="705" spans="6:7" ht="14.25" customHeight="1" x14ac:dyDescent="0.35">
      <c r="F705" s="2"/>
      <c r="G705" s="3"/>
    </row>
    <row r="706" spans="6:7" ht="14.25" customHeight="1" x14ac:dyDescent="0.35">
      <c r="F706" s="2"/>
      <c r="G706" s="3"/>
    </row>
    <row r="707" spans="6:7" ht="14.25" customHeight="1" x14ac:dyDescent="0.35">
      <c r="F707" s="2"/>
      <c r="G707" s="3"/>
    </row>
    <row r="708" spans="6:7" ht="14.25" customHeight="1" x14ac:dyDescent="0.35">
      <c r="F708" s="2"/>
      <c r="G708" s="3"/>
    </row>
    <row r="709" spans="6:7" ht="14.25" customHeight="1" x14ac:dyDescent="0.35">
      <c r="F709" s="2"/>
      <c r="G709" s="3"/>
    </row>
    <row r="710" spans="6:7" ht="14.25" customHeight="1" x14ac:dyDescent="0.35">
      <c r="F710" s="2"/>
      <c r="G710" s="3"/>
    </row>
    <row r="711" spans="6:7" ht="14.25" customHeight="1" x14ac:dyDescent="0.35">
      <c r="F711" s="2"/>
      <c r="G711" s="3"/>
    </row>
    <row r="712" spans="6:7" ht="14.25" customHeight="1" x14ac:dyDescent="0.35">
      <c r="F712" s="2"/>
      <c r="G712" s="3"/>
    </row>
    <row r="713" spans="6:7" ht="14.25" customHeight="1" x14ac:dyDescent="0.35">
      <c r="F713" s="2"/>
      <c r="G713" s="3"/>
    </row>
    <row r="714" spans="6:7" ht="14.25" customHeight="1" x14ac:dyDescent="0.35">
      <c r="F714" s="2"/>
      <c r="G714" s="3"/>
    </row>
    <row r="715" spans="6:7" ht="14.25" customHeight="1" x14ac:dyDescent="0.35">
      <c r="F715" s="2"/>
      <c r="G715" s="3"/>
    </row>
    <row r="716" spans="6:7" ht="14.25" customHeight="1" x14ac:dyDescent="0.35">
      <c r="F716" s="2"/>
      <c r="G716" s="3"/>
    </row>
    <row r="717" spans="6:7" ht="14.25" customHeight="1" x14ac:dyDescent="0.35">
      <c r="F717" s="2"/>
      <c r="G717" s="3"/>
    </row>
    <row r="718" spans="6:7" ht="14.25" customHeight="1" x14ac:dyDescent="0.35">
      <c r="F718" s="2"/>
      <c r="G718" s="3"/>
    </row>
    <row r="719" spans="6:7" ht="14.25" customHeight="1" x14ac:dyDescent="0.35">
      <c r="F719" s="2"/>
      <c r="G719" s="3"/>
    </row>
    <row r="720" spans="6:7" ht="14.25" customHeight="1" x14ac:dyDescent="0.35">
      <c r="F720" s="2"/>
      <c r="G720" s="3"/>
    </row>
    <row r="721" spans="6:7" ht="14.25" customHeight="1" x14ac:dyDescent="0.35">
      <c r="F721" s="2"/>
      <c r="G721" s="3"/>
    </row>
    <row r="722" spans="6:7" ht="14.25" customHeight="1" x14ac:dyDescent="0.35">
      <c r="F722" s="2"/>
      <c r="G722" s="3"/>
    </row>
    <row r="723" spans="6:7" ht="14.25" customHeight="1" x14ac:dyDescent="0.35">
      <c r="F723" s="2"/>
      <c r="G723" s="3"/>
    </row>
    <row r="724" spans="6:7" ht="14.25" customHeight="1" x14ac:dyDescent="0.35">
      <c r="F724" s="2"/>
      <c r="G724" s="3"/>
    </row>
    <row r="725" spans="6:7" ht="14.25" customHeight="1" x14ac:dyDescent="0.35">
      <c r="F725" s="2"/>
      <c r="G725" s="3"/>
    </row>
    <row r="726" spans="6:7" ht="14.25" customHeight="1" x14ac:dyDescent="0.35">
      <c r="F726" s="2"/>
      <c r="G726" s="3"/>
    </row>
    <row r="727" spans="6:7" ht="14.25" customHeight="1" x14ac:dyDescent="0.35">
      <c r="F727" s="2"/>
      <c r="G727" s="3"/>
    </row>
    <row r="728" spans="6:7" ht="14.25" customHeight="1" x14ac:dyDescent="0.35">
      <c r="F728" s="2"/>
      <c r="G728" s="3"/>
    </row>
    <row r="729" spans="6:7" ht="14.25" customHeight="1" x14ac:dyDescent="0.35">
      <c r="F729" s="2"/>
      <c r="G729" s="3"/>
    </row>
    <row r="730" spans="6:7" ht="14.25" customHeight="1" x14ac:dyDescent="0.35">
      <c r="F730" s="2"/>
      <c r="G730" s="3"/>
    </row>
    <row r="731" spans="6:7" ht="14.25" customHeight="1" x14ac:dyDescent="0.35">
      <c r="F731" s="2"/>
      <c r="G731" s="3"/>
    </row>
    <row r="732" spans="6:7" ht="14.25" customHeight="1" x14ac:dyDescent="0.35">
      <c r="F732" s="2"/>
      <c r="G732" s="3"/>
    </row>
    <row r="733" spans="6:7" ht="14.25" customHeight="1" x14ac:dyDescent="0.35">
      <c r="F733" s="2"/>
      <c r="G733" s="3"/>
    </row>
    <row r="734" spans="6:7" ht="14.25" customHeight="1" x14ac:dyDescent="0.35">
      <c r="F734" s="2"/>
      <c r="G734" s="3"/>
    </row>
    <row r="735" spans="6:7" ht="14.25" customHeight="1" x14ac:dyDescent="0.35">
      <c r="F735" s="2"/>
      <c r="G735" s="3"/>
    </row>
    <row r="736" spans="6:7" ht="14.25" customHeight="1" x14ac:dyDescent="0.35">
      <c r="F736" s="2"/>
      <c r="G736" s="3"/>
    </row>
    <row r="737" spans="6:7" ht="14.25" customHeight="1" x14ac:dyDescent="0.35">
      <c r="F737" s="2"/>
      <c r="G737" s="3"/>
    </row>
    <row r="738" spans="6:7" ht="14.25" customHeight="1" x14ac:dyDescent="0.35">
      <c r="F738" s="2"/>
      <c r="G738" s="3"/>
    </row>
    <row r="739" spans="6:7" ht="14.25" customHeight="1" x14ac:dyDescent="0.35">
      <c r="F739" s="2"/>
      <c r="G739" s="3"/>
    </row>
    <row r="740" spans="6:7" ht="14.25" customHeight="1" x14ac:dyDescent="0.35">
      <c r="F740" s="2"/>
      <c r="G740" s="3"/>
    </row>
    <row r="741" spans="6:7" ht="14.25" customHeight="1" x14ac:dyDescent="0.35">
      <c r="F741" s="2"/>
      <c r="G741" s="3"/>
    </row>
    <row r="742" spans="6:7" ht="14.25" customHeight="1" x14ac:dyDescent="0.35">
      <c r="F742" s="2"/>
      <c r="G742" s="3"/>
    </row>
    <row r="743" spans="6:7" ht="14.25" customHeight="1" x14ac:dyDescent="0.35">
      <c r="F743" s="2"/>
      <c r="G743" s="3"/>
    </row>
    <row r="744" spans="6:7" ht="14.25" customHeight="1" x14ac:dyDescent="0.35">
      <c r="F744" s="2"/>
      <c r="G744" s="3"/>
    </row>
    <row r="745" spans="6:7" ht="14.25" customHeight="1" x14ac:dyDescent="0.35">
      <c r="F745" s="2"/>
      <c r="G745" s="3"/>
    </row>
    <row r="746" spans="6:7" ht="14.25" customHeight="1" x14ac:dyDescent="0.35">
      <c r="F746" s="2"/>
      <c r="G746" s="3"/>
    </row>
    <row r="747" spans="6:7" ht="14.25" customHeight="1" x14ac:dyDescent="0.35">
      <c r="F747" s="2"/>
      <c r="G747" s="3"/>
    </row>
    <row r="748" spans="6:7" ht="14.25" customHeight="1" x14ac:dyDescent="0.35">
      <c r="F748" s="2"/>
      <c r="G748" s="3"/>
    </row>
    <row r="749" spans="6:7" ht="14.25" customHeight="1" x14ac:dyDescent="0.35">
      <c r="F749" s="2"/>
      <c r="G749" s="3"/>
    </row>
    <row r="750" spans="6:7" ht="14.25" customHeight="1" x14ac:dyDescent="0.35">
      <c r="F750" s="2"/>
      <c r="G750" s="3"/>
    </row>
    <row r="751" spans="6:7" ht="14.25" customHeight="1" x14ac:dyDescent="0.35">
      <c r="F751" s="2"/>
      <c r="G751" s="3"/>
    </row>
    <row r="752" spans="6:7" ht="14.25" customHeight="1" x14ac:dyDescent="0.35">
      <c r="F752" s="2"/>
      <c r="G752" s="3"/>
    </row>
    <row r="753" spans="6:7" ht="14.25" customHeight="1" x14ac:dyDescent="0.35">
      <c r="F753" s="2"/>
      <c r="G753" s="3"/>
    </row>
    <row r="754" spans="6:7" ht="14.25" customHeight="1" x14ac:dyDescent="0.35">
      <c r="F754" s="2"/>
      <c r="G754" s="3"/>
    </row>
    <row r="755" spans="6:7" ht="14.25" customHeight="1" x14ac:dyDescent="0.35">
      <c r="F755" s="2"/>
      <c r="G755" s="3"/>
    </row>
    <row r="756" spans="6:7" ht="14.25" customHeight="1" x14ac:dyDescent="0.35">
      <c r="F756" s="2"/>
      <c r="G756" s="3"/>
    </row>
    <row r="757" spans="6:7" ht="14.25" customHeight="1" x14ac:dyDescent="0.35">
      <c r="F757" s="2"/>
      <c r="G757" s="3"/>
    </row>
    <row r="758" spans="6:7" ht="14.25" customHeight="1" x14ac:dyDescent="0.35">
      <c r="F758" s="2"/>
      <c r="G758" s="3"/>
    </row>
    <row r="759" spans="6:7" ht="14.25" customHeight="1" x14ac:dyDescent="0.35">
      <c r="F759" s="2"/>
      <c r="G759" s="3"/>
    </row>
    <row r="760" spans="6:7" ht="14.25" customHeight="1" x14ac:dyDescent="0.35">
      <c r="F760" s="2"/>
      <c r="G760" s="3"/>
    </row>
    <row r="761" spans="6:7" ht="14.25" customHeight="1" x14ac:dyDescent="0.35">
      <c r="F761" s="2"/>
      <c r="G761" s="3"/>
    </row>
    <row r="762" spans="6:7" ht="14.25" customHeight="1" x14ac:dyDescent="0.35">
      <c r="F762" s="2"/>
      <c r="G762" s="3"/>
    </row>
    <row r="763" spans="6:7" ht="14.25" customHeight="1" x14ac:dyDescent="0.35">
      <c r="F763" s="2"/>
      <c r="G763" s="3"/>
    </row>
    <row r="764" spans="6:7" ht="14.25" customHeight="1" x14ac:dyDescent="0.35">
      <c r="F764" s="2"/>
      <c r="G764" s="3"/>
    </row>
    <row r="765" spans="6:7" ht="14.25" customHeight="1" x14ac:dyDescent="0.35">
      <c r="F765" s="2"/>
      <c r="G765" s="3"/>
    </row>
    <row r="766" spans="6:7" ht="14.25" customHeight="1" x14ac:dyDescent="0.35">
      <c r="F766" s="2"/>
      <c r="G766" s="3"/>
    </row>
    <row r="767" spans="6:7" ht="14.25" customHeight="1" x14ac:dyDescent="0.35">
      <c r="F767" s="2"/>
      <c r="G767" s="3"/>
    </row>
    <row r="768" spans="6:7" ht="14.25" customHeight="1" x14ac:dyDescent="0.35">
      <c r="F768" s="2"/>
      <c r="G768" s="3"/>
    </row>
    <row r="769" spans="6:7" ht="14.25" customHeight="1" x14ac:dyDescent="0.35">
      <c r="F769" s="2"/>
      <c r="G769" s="3"/>
    </row>
    <row r="770" spans="6:7" ht="14.25" customHeight="1" x14ac:dyDescent="0.35">
      <c r="F770" s="2"/>
      <c r="G770" s="3"/>
    </row>
    <row r="771" spans="6:7" ht="14.25" customHeight="1" x14ac:dyDescent="0.35">
      <c r="F771" s="2"/>
      <c r="G771" s="3"/>
    </row>
    <row r="772" spans="6:7" ht="14.25" customHeight="1" x14ac:dyDescent="0.35">
      <c r="F772" s="2"/>
      <c r="G772" s="3"/>
    </row>
    <row r="773" spans="6:7" ht="14.25" customHeight="1" x14ac:dyDescent="0.35">
      <c r="F773" s="2"/>
      <c r="G773" s="3"/>
    </row>
    <row r="774" spans="6:7" ht="14.25" customHeight="1" x14ac:dyDescent="0.35">
      <c r="F774" s="2"/>
      <c r="G774" s="3"/>
    </row>
    <row r="775" spans="6:7" ht="14.25" customHeight="1" x14ac:dyDescent="0.35">
      <c r="F775" s="2"/>
      <c r="G775" s="3"/>
    </row>
    <row r="776" spans="6:7" ht="14.25" customHeight="1" x14ac:dyDescent="0.35">
      <c r="F776" s="2"/>
      <c r="G776" s="3"/>
    </row>
    <row r="777" spans="6:7" ht="14.25" customHeight="1" x14ac:dyDescent="0.35">
      <c r="F777" s="2"/>
      <c r="G777" s="3"/>
    </row>
    <row r="778" spans="6:7" ht="14.25" customHeight="1" x14ac:dyDescent="0.35">
      <c r="F778" s="2"/>
      <c r="G778" s="3"/>
    </row>
    <row r="779" spans="6:7" ht="14.25" customHeight="1" x14ac:dyDescent="0.35">
      <c r="F779" s="2"/>
      <c r="G779" s="3"/>
    </row>
    <row r="780" spans="6:7" ht="14.25" customHeight="1" x14ac:dyDescent="0.35">
      <c r="F780" s="2"/>
      <c r="G780" s="3"/>
    </row>
    <row r="781" spans="6:7" ht="14.25" customHeight="1" x14ac:dyDescent="0.35">
      <c r="F781" s="2"/>
      <c r="G781" s="3"/>
    </row>
    <row r="782" spans="6:7" ht="14.25" customHeight="1" x14ac:dyDescent="0.35">
      <c r="F782" s="2"/>
      <c r="G782" s="3"/>
    </row>
    <row r="783" spans="6:7" ht="14.25" customHeight="1" x14ac:dyDescent="0.35">
      <c r="F783" s="2"/>
      <c r="G783" s="3"/>
    </row>
    <row r="784" spans="6:7" ht="14.25" customHeight="1" x14ac:dyDescent="0.35">
      <c r="F784" s="2"/>
      <c r="G784" s="3"/>
    </row>
    <row r="785" spans="6:7" ht="14.25" customHeight="1" x14ac:dyDescent="0.35">
      <c r="F785" s="2"/>
      <c r="G785" s="3"/>
    </row>
    <row r="786" spans="6:7" ht="14.25" customHeight="1" x14ac:dyDescent="0.35">
      <c r="F786" s="2"/>
      <c r="G786" s="3"/>
    </row>
    <row r="787" spans="6:7" ht="14.25" customHeight="1" x14ac:dyDescent="0.35">
      <c r="F787" s="2"/>
      <c r="G787" s="3"/>
    </row>
    <row r="788" spans="6:7" ht="14.25" customHeight="1" x14ac:dyDescent="0.35">
      <c r="F788" s="2"/>
      <c r="G788" s="3"/>
    </row>
    <row r="789" spans="6:7" ht="14.25" customHeight="1" x14ac:dyDescent="0.35">
      <c r="F789" s="2"/>
      <c r="G789" s="3"/>
    </row>
    <row r="790" spans="6:7" ht="14.25" customHeight="1" x14ac:dyDescent="0.35">
      <c r="F790" s="2"/>
      <c r="G790" s="3"/>
    </row>
    <row r="791" spans="6:7" ht="14.25" customHeight="1" x14ac:dyDescent="0.35">
      <c r="F791" s="2"/>
      <c r="G791" s="3"/>
    </row>
    <row r="792" spans="6:7" ht="14.25" customHeight="1" x14ac:dyDescent="0.35">
      <c r="F792" s="2"/>
      <c r="G792" s="3"/>
    </row>
    <row r="793" spans="6:7" ht="14.25" customHeight="1" x14ac:dyDescent="0.35">
      <c r="F793" s="2"/>
      <c r="G793" s="3"/>
    </row>
    <row r="794" spans="6:7" ht="14.25" customHeight="1" x14ac:dyDescent="0.35">
      <c r="F794" s="2"/>
      <c r="G794" s="3"/>
    </row>
    <row r="795" spans="6:7" ht="14.25" customHeight="1" x14ac:dyDescent="0.35">
      <c r="F795" s="2"/>
      <c r="G795" s="3"/>
    </row>
    <row r="796" spans="6:7" ht="14.25" customHeight="1" x14ac:dyDescent="0.35">
      <c r="F796" s="2"/>
      <c r="G796" s="3"/>
    </row>
    <row r="797" spans="6:7" ht="14.25" customHeight="1" x14ac:dyDescent="0.35">
      <c r="F797" s="2"/>
      <c r="G797" s="3"/>
    </row>
    <row r="798" spans="6:7" ht="14.25" customHeight="1" x14ac:dyDescent="0.35">
      <c r="F798" s="2"/>
      <c r="G798" s="3"/>
    </row>
    <row r="799" spans="6:7" ht="14.25" customHeight="1" x14ac:dyDescent="0.35">
      <c r="F799" s="2"/>
      <c r="G799" s="3"/>
    </row>
    <row r="800" spans="6:7" ht="14.25" customHeight="1" x14ac:dyDescent="0.35">
      <c r="F800" s="2"/>
      <c r="G800" s="3"/>
    </row>
    <row r="801" spans="6:7" ht="14.25" customHeight="1" x14ac:dyDescent="0.35">
      <c r="F801" s="2"/>
      <c r="G801" s="3"/>
    </row>
    <row r="802" spans="6:7" ht="14.25" customHeight="1" x14ac:dyDescent="0.35">
      <c r="F802" s="2"/>
      <c r="G802" s="3"/>
    </row>
    <row r="803" spans="6:7" ht="14.25" customHeight="1" x14ac:dyDescent="0.35">
      <c r="F803" s="2"/>
      <c r="G803" s="3"/>
    </row>
    <row r="804" spans="6:7" ht="14.25" customHeight="1" x14ac:dyDescent="0.35">
      <c r="F804" s="2"/>
      <c r="G804" s="3"/>
    </row>
    <row r="805" spans="6:7" ht="14.25" customHeight="1" x14ac:dyDescent="0.35">
      <c r="F805" s="2"/>
      <c r="G805" s="3"/>
    </row>
    <row r="806" spans="6:7" ht="14.25" customHeight="1" x14ac:dyDescent="0.35">
      <c r="F806" s="2"/>
      <c r="G806" s="3"/>
    </row>
    <row r="807" spans="6:7" ht="14.25" customHeight="1" x14ac:dyDescent="0.35">
      <c r="F807" s="2"/>
      <c r="G807" s="3"/>
    </row>
    <row r="808" spans="6:7" ht="14.25" customHeight="1" x14ac:dyDescent="0.35">
      <c r="F808" s="2"/>
      <c r="G808" s="3"/>
    </row>
    <row r="809" spans="6:7" ht="14.25" customHeight="1" x14ac:dyDescent="0.35">
      <c r="F809" s="2"/>
      <c r="G809" s="3"/>
    </row>
    <row r="810" spans="6:7" ht="14.25" customHeight="1" x14ac:dyDescent="0.35">
      <c r="F810" s="2"/>
      <c r="G810" s="3"/>
    </row>
    <row r="811" spans="6:7" ht="14.25" customHeight="1" x14ac:dyDescent="0.35">
      <c r="F811" s="2"/>
      <c r="G811" s="3"/>
    </row>
    <row r="812" spans="6:7" ht="14.25" customHeight="1" x14ac:dyDescent="0.35">
      <c r="F812" s="2"/>
      <c r="G812" s="3"/>
    </row>
    <row r="813" spans="6:7" ht="14.25" customHeight="1" x14ac:dyDescent="0.35">
      <c r="F813" s="2"/>
      <c r="G813" s="3"/>
    </row>
    <row r="814" spans="6:7" ht="14.25" customHeight="1" x14ac:dyDescent="0.35">
      <c r="F814" s="2"/>
      <c r="G814" s="3"/>
    </row>
    <row r="815" spans="6:7" ht="14.25" customHeight="1" x14ac:dyDescent="0.35">
      <c r="F815" s="2"/>
      <c r="G815" s="3"/>
    </row>
    <row r="816" spans="6:7" ht="14.25" customHeight="1" x14ac:dyDescent="0.35">
      <c r="F816" s="2"/>
      <c r="G816" s="3"/>
    </row>
    <row r="817" spans="6:7" ht="14.25" customHeight="1" x14ac:dyDescent="0.35">
      <c r="F817" s="2"/>
      <c r="G817" s="3"/>
    </row>
    <row r="818" spans="6:7" ht="14.25" customHeight="1" x14ac:dyDescent="0.35">
      <c r="F818" s="2"/>
      <c r="G818" s="3"/>
    </row>
    <row r="819" spans="6:7" ht="14.25" customHeight="1" x14ac:dyDescent="0.35">
      <c r="F819" s="2"/>
      <c r="G819" s="3"/>
    </row>
    <row r="820" spans="6:7" ht="14.25" customHeight="1" x14ac:dyDescent="0.35">
      <c r="F820" s="2"/>
      <c r="G820" s="3"/>
    </row>
    <row r="821" spans="6:7" ht="14.25" customHeight="1" x14ac:dyDescent="0.35">
      <c r="F821" s="2"/>
      <c r="G821" s="3"/>
    </row>
    <row r="822" spans="6:7" ht="14.25" customHeight="1" x14ac:dyDescent="0.35">
      <c r="F822" s="2"/>
      <c r="G822" s="3"/>
    </row>
    <row r="823" spans="6:7" ht="14.25" customHeight="1" x14ac:dyDescent="0.35">
      <c r="F823" s="2"/>
      <c r="G823" s="3"/>
    </row>
    <row r="824" spans="6:7" ht="14.25" customHeight="1" x14ac:dyDescent="0.35">
      <c r="F824" s="2"/>
      <c r="G824" s="3"/>
    </row>
    <row r="825" spans="6:7" ht="14.25" customHeight="1" x14ac:dyDescent="0.35">
      <c r="F825" s="2"/>
      <c r="G825" s="3"/>
    </row>
    <row r="826" spans="6:7" ht="14.25" customHeight="1" x14ac:dyDescent="0.35">
      <c r="F826" s="2"/>
      <c r="G826" s="3"/>
    </row>
    <row r="827" spans="6:7" ht="14.25" customHeight="1" x14ac:dyDescent="0.35">
      <c r="F827" s="2"/>
      <c r="G827" s="3"/>
    </row>
    <row r="828" spans="6:7" ht="14.25" customHeight="1" x14ac:dyDescent="0.35">
      <c r="F828" s="2"/>
      <c r="G828" s="3"/>
    </row>
    <row r="829" spans="6:7" ht="14.25" customHeight="1" x14ac:dyDescent="0.35">
      <c r="F829" s="2"/>
      <c r="G829" s="3"/>
    </row>
    <row r="830" spans="6:7" ht="14.25" customHeight="1" x14ac:dyDescent="0.35">
      <c r="F830" s="2"/>
      <c r="G830" s="3"/>
    </row>
    <row r="831" spans="6:7" ht="14.25" customHeight="1" x14ac:dyDescent="0.35">
      <c r="F831" s="2"/>
      <c r="G831" s="3"/>
    </row>
    <row r="832" spans="6:7" ht="14.25" customHeight="1" x14ac:dyDescent="0.35">
      <c r="F832" s="2"/>
      <c r="G832" s="3"/>
    </row>
    <row r="833" spans="6:7" ht="14.25" customHeight="1" x14ac:dyDescent="0.35">
      <c r="F833" s="2"/>
      <c r="G833" s="3"/>
    </row>
    <row r="834" spans="6:7" ht="14.25" customHeight="1" x14ac:dyDescent="0.35">
      <c r="F834" s="2"/>
      <c r="G834" s="3"/>
    </row>
    <row r="835" spans="6:7" ht="14.25" customHeight="1" x14ac:dyDescent="0.35">
      <c r="F835" s="2"/>
      <c r="G835" s="3"/>
    </row>
    <row r="836" spans="6:7" ht="14.25" customHeight="1" x14ac:dyDescent="0.35">
      <c r="F836" s="2"/>
      <c r="G836" s="3"/>
    </row>
    <row r="837" spans="6:7" ht="14.25" customHeight="1" x14ac:dyDescent="0.35">
      <c r="F837" s="2"/>
      <c r="G837" s="3"/>
    </row>
    <row r="838" spans="6:7" ht="14.25" customHeight="1" x14ac:dyDescent="0.35">
      <c r="F838" s="2"/>
      <c r="G838" s="3"/>
    </row>
    <row r="839" spans="6:7" ht="14.25" customHeight="1" x14ac:dyDescent="0.35">
      <c r="F839" s="2"/>
      <c r="G839" s="3"/>
    </row>
    <row r="840" spans="6:7" ht="14.25" customHeight="1" x14ac:dyDescent="0.35">
      <c r="F840" s="2"/>
      <c r="G840" s="3"/>
    </row>
    <row r="841" spans="6:7" ht="14.25" customHeight="1" x14ac:dyDescent="0.35">
      <c r="F841" s="2"/>
      <c r="G841" s="3"/>
    </row>
    <row r="842" spans="6:7" ht="14.25" customHeight="1" x14ac:dyDescent="0.35">
      <c r="F842" s="2"/>
      <c r="G842" s="3"/>
    </row>
    <row r="843" spans="6:7" ht="14.25" customHeight="1" x14ac:dyDescent="0.35">
      <c r="F843" s="2"/>
      <c r="G843" s="3"/>
    </row>
    <row r="844" spans="6:7" ht="14.25" customHeight="1" x14ac:dyDescent="0.35">
      <c r="F844" s="2"/>
      <c r="G844" s="3"/>
    </row>
    <row r="845" spans="6:7" ht="14.25" customHeight="1" x14ac:dyDescent="0.35">
      <c r="F845" s="2"/>
      <c r="G845" s="3"/>
    </row>
    <row r="846" spans="6:7" ht="14.25" customHeight="1" x14ac:dyDescent="0.35">
      <c r="F846" s="2"/>
      <c r="G846" s="3"/>
    </row>
    <row r="847" spans="6:7" ht="14.25" customHeight="1" x14ac:dyDescent="0.35">
      <c r="F847" s="2"/>
      <c r="G847" s="3"/>
    </row>
    <row r="848" spans="6:7" ht="14.25" customHeight="1" x14ac:dyDescent="0.35">
      <c r="F848" s="2"/>
      <c r="G848" s="3"/>
    </row>
    <row r="849" spans="6:7" ht="14.25" customHeight="1" x14ac:dyDescent="0.35">
      <c r="F849" s="2"/>
      <c r="G849" s="3"/>
    </row>
    <row r="850" spans="6:7" ht="14.25" customHeight="1" x14ac:dyDescent="0.35">
      <c r="F850" s="2"/>
      <c r="G850" s="3"/>
    </row>
    <row r="851" spans="6:7" ht="14.25" customHeight="1" x14ac:dyDescent="0.35">
      <c r="F851" s="2"/>
      <c r="G851" s="3"/>
    </row>
    <row r="852" spans="6:7" ht="14.25" customHeight="1" x14ac:dyDescent="0.35">
      <c r="F852" s="2"/>
      <c r="G852" s="3"/>
    </row>
    <row r="853" spans="6:7" ht="14.25" customHeight="1" x14ac:dyDescent="0.35">
      <c r="F853" s="2"/>
      <c r="G853" s="3"/>
    </row>
    <row r="854" spans="6:7" ht="14.25" customHeight="1" x14ac:dyDescent="0.35">
      <c r="F854" s="2"/>
      <c r="G854" s="3"/>
    </row>
    <row r="855" spans="6:7" ht="14.25" customHeight="1" x14ac:dyDescent="0.35">
      <c r="F855" s="2"/>
      <c r="G855" s="3"/>
    </row>
    <row r="856" spans="6:7" ht="14.25" customHeight="1" x14ac:dyDescent="0.35">
      <c r="F856" s="2"/>
      <c r="G856" s="3"/>
    </row>
    <row r="857" spans="6:7" ht="14.25" customHeight="1" x14ac:dyDescent="0.35">
      <c r="F857" s="2"/>
      <c r="G857" s="3"/>
    </row>
    <row r="858" spans="6:7" ht="14.25" customHeight="1" x14ac:dyDescent="0.35">
      <c r="F858" s="2"/>
      <c r="G858" s="3"/>
    </row>
    <row r="859" spans="6:7" ht="14.25" customHeight="1" x14ac:dyDescent="0.35">
      <c r="F859" s="2"/>
      <c r="G859" s="3"/>
    </row>
    <row r="860" spans="6:7" ht="14.25" customHeight="1" x14ac:dyDescent="0.35">
      <c r="F860" s="2"/>
      <c r="G860" s="3"/>
    </row>
    <row r="861" spans="6:7" ht="14.25" customHeight="1" x14ac:dyDescent="0.35">
      <c r="F861" s="2"/>
      <c r="G861" s="3"/>
    </row>
    <row r="862" spans="6:7" ht="14.25" customHeight="1" x14ac:dyDescent="0.35">
      <c r="F862" s="2"/>
      <c r="G862" s="3"/>
    </row>
    <row r="863" spans="6:7" ht="14.25" customHeight="1" x14ac:dyDescent="0.35">
      <c r="F863" s="2"/>
      <c r="G863" s="3"/>
    </row>
    <row r="864" spans="6:7" ht="14.25" customHeight="1" x14ac:dyDescent="0.35">
      <c r="F864" s="2"/>
      <c r="G864" s="3"/>
    </row>
    <row r="865" spans="6:7" ht="14.25" customHeight="1" x14ac:dyDescent="0.35">
      <c r="F865" s="2"/>
      <c r="G865" s="3"/>
    </row>
    <row r="866" spans="6:7" ht="14.25" customHeight="1" x14ac:dyDescent="0.35">
      <c r="F866" s="2"/>
      <c r="G866" s="3"/>
    </row>
    <row r="867" spans="6:7" ht="14.25" customHeight="1" x14ac:dyDescent="0.35">
      <c r="F867" s="2"/>
      <c r="G867" s="3"/>
    </row>
    <row r="868" spans="6:7" ht="14.25" customHeight="1" x14ac:dyDescent="0.35">
      <c r="F868" s="2"/>
      <c r="G868" s="3"/>
    </row>
    <row r="869" spans="6:7" ht="14.25" customHeight="1" x14ac:dyDescent="0.35">
      <c r="F869" s="2"/>
      <c r="G869" s="3"/>
    </row>
    <row r="870" spans="6:7" ht="14.25" customHeight="1" x14ac:dyDescent="0.35">
      <c r="F870" s="2"/>
      <c r="G870" s="3"/>
    </row>
    <row r="871" spans="6:7" ht="14.25" customHeight="1" x14ac:dyDescent="0.35">
      <c r="F871" s="2"/>
      <c r="G871" s="3"/>
    </row>
    <row r="872" spans="6:7" ht="14.25" customHeight="1" x14ac:dyDescent="0.35">
      <c r="F872" s="2"/>
      <c r="G872" s="3"/>
    </row>
    <row r="873" spans="6:7" ht="14.25" customHeight="1" x14ac:dyDescent="0.35">
      <c r="F873" s="2"/>
      <c r="G873" s="3"/>
    </row>
    <row r="874" spans="6:7" ht="14.25" customHeight="1" x14ac:dyDescent="0.35">
      <c r="F874" s="2"/>
      <c r="G874" s="3"/>
    </row>
    <row r="875" spans="6:7" ht="14.25" customHeight="1" x14ac:dyDescent="0.35">
      <c r="F875" s="2"/>
      <c r="G875" s="3"/>
    </row>
    <row r="876" spans="6:7" ht="14.25" customHeight="1" x14ac:dyDescent="0.35">
      <c r="F876" s="2"/>
      <c r="G876" s="3"/>
    </row>
    <row r="877" spans="6:7" ht="14.25" customHeight="1" x14ac:dyDescent="0.35">
      <c r="F877" s="2"/>
      <c r="G877" s="3"/>
    </row>
    <row r="878" spans="6:7" ht="14.25" customHeight="1" x14ac:dyDescent="0.35">
      <c r="F878" s="2"/>
      <c r="G878" s="3"/>
    </row>
    <row r="879" spans="6:7" ht="14.25" customHeight="1" x14ac:dyDescent="0.35">
      <c r="F879" s="2"/>
      <c r="G879" s="3"/>
    </row>
    <row r="880" spans="6:7" ht="14.25" customHeight="1" x14ac:dyDescent="0.35">
      <c r="F880" s="2"/>
      <c r="G880" s="3"/>
    </row>
    <row r="881" spans="6:7" ht="14.25" customHeight="1" x14ac:dyDescent="0.35">
      <c r="F881" s="2"/>
      <c r="G881" s="3"/>
    </row>
    <row r="882" spans="6:7" ht="14.25" customHeight="1" x14ac:dyDescent="0.35">
      <c r="F882" s="2"/>
      <c r="G882" s="3"/>
    </row>
    <row r="883" spans="6:7" ht="14.25" customHeight="1" x14ac:dyDescent="0.35">
      <c r="F883" s="2"/>
      <c r="G883" s="3"/>
    </row>
    <row r="884" spans="6:7" ht="14.25" customHeight="1" x14ac:dyDescent="0.35">
      <c r="F884" s="2"/>
      <c r="G884" s="3"/>
    </row>
    <row r="885" spans="6:7" ht="14.25" customHeight="1" x14ac:dyDescent="0.35">
      <c r="F885" s="2"/>
      <c r="G885" s="3"/>
    </row>
    <row r="886" spans="6:7" ht="14.25" customHeight="1" x14ac:dyDescent="0.35">
      <c r="F886" s="2"/>
      <c r="G886" s="3"/>
    </row>
    <row r="887" spans="6:7" ht="14.25" customHeight="1" x14ac:dyDescent="0.35">
      <c r="F887" s="2"/>
      <c r="G887" s="3"/>
    </row>
    <row r="888" spans="6:7" ht="14.25" customHeight="1" x14ac:dyDescent="0.35">
      <c r="F888" s="2"/>
      <c r="G888" s="3"/>
    </row>
    <row r="889" spans="6:7" ht="14.25" customHeight="1" x14ac:dyDescent="0.35">
      <c r="F889" s="2"/>
      <c r="G889" s="3"/>
    </row>
    <row r="890" spans="6:7" ht="14.25" customHeight="1" x14ac:dyDescent="0.35">
      <c r="F890" s="2"/>
      <c r="G890" s="3"/>
    </row>
    <row r="891" spans="6:7" ht="14.25" customHeight="1" x14ac:dyDescent="0.35">
      <c r="F891" s="2"/>
      <c r="G891" s="3"/>
    </row>
    <row r="892" spans="6:7" ht="14.25" customHeight="1" x14ac:dyDescent="0.35">
      <c r="F892" s="2"/>
      <c r="G892" s="3"/>
    </row>
    <row r="893" spans="6:7" ht="14.25" customHeight="1" x14ac:dyDescent="0.35">
      <c r="F893" s="2"/>
      <c r="G893" s="3"/>
    </row>
    <row r="894" spans="6:7" ht="14.25" customHeight="1" x14ac:dyDescent="0.35">
      <c r="F894" s="2"/>
      <c r="G894" s="3"/>
    </row>
    <row r="895" spans="6:7" ht="14.25" customHeight="1" x14ac:dyDescent="0.35">
      <c r="F895" s="2"/>
      <c r="G895" s="3"/>
    </row>
    <row r="896" spans="6:7" ht="14.25" customHeight="1" x14ac:dyDescent="0.35">
      <c r="F896" s="2"/>
      <c r="G896" s="3"/>
    </row>
    <row r="897" spans="6:7" ht="14.25" customHeight="1" x14ac:dyDescent="0.35">
      <c r="F897" s="2"/>
      <c r="G897" s="3"/>
    </row>
    <row r="898" spans="6:7" ht="14.25" customHeight="1" x14ac:dyDescent="0.35">
      <c r="F898" s="2"/>
      <c r="G898" s="3"/>
    </row>
    <row r="899" spans="6:7" ht="14.25" customHeight="1" x14ac:dyDescent="0.35">
      <c r="F899" s="2"/>
      <c r="G899" s="3"/>
    </row>
    <row r="900" spans="6:7" ht="14.25" customHeight="1" x14ac:dyDescent="0.35">
      <c r="F900" s="2"/>
      <c r="G900" s="3"/>
    </row>
    <row r="901" spans="6:7" ht="14.25" customHeight="1" x14ac:dyDescent="0.35">
      <c r="F901" s="2"/>
      <c r="G901" s="3"/>
    </row>
    <row r="902" spans="6:7" ht="14.25" customHeight="1" x14ac:dyDescent="0.35">
      <c r="F902" s="2"/>
      <c r="G902" s="3"/>
    </row>
    <row r="903" spans="6:7" ht="14.25" customHeight="1" x14ac:dyDescent="0.35">
      <c r="F903" s="2"/>
      <c r="G903" s="3"/>
    </row>
    <row r="904" spans="6:7" ht="14.25" customHeight="1" x14ac:dyDescent="0.35">
      <c r="F904" s="2"/>
      <c r="G904" s="3"/>
    </row>
    <row r="905" spans="6:7" ht="14.25" customHeight="1" x14ac:dyDescent="0.35">
      <c r="F905" s="2"/>
      <c r="G905" s="3"/>
    </row>
    <row r="906" spans="6:7" ht="14.25" customHeight="1" x14ac:dyDescent="0.35">
      <c r="F906" s="2"/>
      <c r="G906" s="3"/>
    </row>
    <row r="907" spans="6:7" ht="14.25" customHeight="1" x14ac:dyDescent="0.35">
      <c r="F907" s="2"/>
      <c r="G907" s="3"/>
    </row>
    <row r="908" spans="6:7" ht="14.25" customHeight="1" x14ac:dyDescent="0.35">
      <c r="F908" s="2"/>
      <c r="G908" s="3"/>
    </row>
    <row r="909" spans="6:7" ht="14.25" customHeight="1" x14ac:dyDescent="0.35">
      <c r="F909" s="2"/>
      <c r="G909" s="3"/>
    </row>
    <row r="910" spans="6:7" ht="14.25" customHeight="1" x14ac:dyDescent="0.35">
      <c r="F910" s="2"/>
      <c r="G910" s="3"/>
    </row>
    <row r="911" spans="6:7" ht="14.25" customHeight="1" x14ac:dyDescent="0.35">
      <c r="F911" s="2"/>
      <c r="G911" s="3"/>
    </row>
    <row r="912" spans="6:7" ht="14.25" customHeight="1" x14ac:dyDescent="0.35">
      <c r="F912" s="2"/>
      <c r="G912" s="3"/>
    </row>
    <row r="913" spans="6:7" ht="14.25" customHeight="1" x14ac:dyDescent="0.35">
      <c r="F913" s="2"/>
      <c r="G913" s="3"/>
    </row>
    <row r="914" spans="6:7" ht="14.25" customHeight="1" x14ac:dyDescent="0.35">
      <c r="F914" s="2"/>
      <c r="G914" s="3"/>
    </row>
    <row r="915" spans="6:7" ht="14.25" customHeight="1" x14ac:dyDescent="0.35">
      <c r="F915" s="2"/>
      <c r="G915" s="3"/>
    </row>
    <row r="916" spans="6:7" ht="14.25" customHeight="1" x14ac:dyDescent="0.35">
      <c r="F916" s="2"/>
      <c r="G916" s="3"/>
    </row>
    <row r="917" spans="6:7" ht="14.25" customHeight="1" x14ac:dyDescent="0.35">
      <c r="F917" s="2"/>
      <c r="G917" s="3"/>
    </row>
    <row r="918" spans="6:7" ht="14.25" customHeight="1" x14ac:dyDescent="0.35">
      <c r="F918" s="2"/>
      <c r="G918" s="3"/>
    </row>
    <row r="919" spans="6:7" ht="14.25" customHeight="1" x14ac:dyDescent="0.35">
      <c r="F919" s="2"/>
      <c r="G919" s="3"/>
    </row>
    <row r="920" spans="6:7" ht="14.25" customHeight="1" x14ac:dyDescent="0.35">
      <c r="F920" s="2"/>
      <c r="G920" s="3"/>
    </row>
    <row r="921" spans="6:7" ht="14.25" customHeight="1" x14ac:dyDescent="0.35">
      <c r="F921" s="2"/>
      <c r="G921" s="3"/>
    </row>
    <row r="922" spans="6:7" ht="14.25" customHeight="1" x14ac:dyDescent="0.35">
      <c r="F922" s="2"/>
      <c r="G922" s="3"/>
    </row>
    <row r="923" spans="6:7" ht="14.25" customHeight="1" x14ac:dyDescent="0.35">
      <c r="F923" s="2"/>
      <c r="G923" s="3"/>
    </row>
    <row r="924" spans="6:7" ht="14.25" customHeight="1" x14ac:dyDescent="0.35">
      <c r="F924" s="2"/>
      <c r="G924" s="3"/>
    </row>
    <row r="925" spans="6:7" ht="14.25" customHeight="1" x14ac:dyDescent="0.35">
      <c r="F925" s="2"/>
      <c r="G925" s="3"/>
    </row>
    <row r="926" spans="6:7" ht="14.25" customHeight="1" x14ac:dyDescent="0.35">
      <c r="F926" s="2"/>
      <c r="G926" s="3"/>
    </row>
    <row r="927" spans="6:7" ht="14.25" customHeight="1" x14ac:dyDescent="0.35">
      <c r="F927" s="2"/>
      <c r="G927" s="3"/>
    </row>
    <row r="928" spans="6:7" ht="14.25" customHeight="1" x14ac:dyDescent="0.35">
      <c r="F928" s="2"/>
      <c r="G928" s="3"/>
    </row>
    <row r="929" spans="6:7" ht="14.25" customHeight="1" x14ac:dyDescent="0.35">
      <c r="F929" s="2"/>
      <c r="G929" s="3"/>
    </row>
    <row r="930" spans="6:7" ht="14.25" customHeight="1" x14ac:dyDescent="0.35">
      <c r="F930" s="2"/>
      <c r="G930" s="3"/>
    </row>
    <row r="931" spans="6:7" ht="14.25" customHeight="1" x14ac:dyDescent="0.35">
      <c r="F931" s="2"/>
      <c r="G931" s="3"/>
    </row>
    <row r="932" spans="6:7" ht="14.25" customHeight="1" x14ac:dyDescent="0.35">
      <c r="F932" s="2"/>
      <c r="G932" s="3"/>
    </row>
    <row r="933" spans="6:7" ht="14.25" customHeight="1" x14ac:dyDescent="0.35">
      <c r="F933" s="2"/>
      <c r="G933" s="3"/>
    </row>
    <row r="934" spans="6:7" ht="14.25" customHeight="1" x14ac:dyDescent="0.35">
      <c r="F934" s="2"/>
      <c r="G934" s="3"/>
    </row>
    <row r="935" spans="6:7" ht="14.25" customHeight="1" x14ac:dyDescent="0.35">
      <c r="F935" s="2"/>
      <c r="G935" s="3"/>
    </row>
    <row r="936" spans="6:7" ht="14.25" customHeight="1" x14ac:dyDescent="0.35">
      <c r="F936" s="2"/>
      <c r="G936" s="3"/>
    </row>
    <row r="937" spans="6:7" ht="14.25" customHeight="1" x14ac:dyDescent="0.35">
      <c r="F937" s="2"/>
      <c r="G937" s="3"/>
    </row>
    <row r="938" spans="6:7" ht="14.25" customHeight="1" x14ac:dyDescent="0.35">
      <c r="F938" s="2"/>
      <c r="G938" s="3"/>
    </row>
    <row r="939" spans="6:7" ht="14.25" customHeight="1" x14ac:dyDescent="0.35">
      <c r="F939" s="2"/>
      <c r="G939" s="3"/>
    </row>
    <row r="940" spans="6:7" ht="14.25" customHeight="1" x14ac:dyDescent="0.35">
      <c r="F940" s="2"/>
      <c r="G940" s="3"/>
    </row>
    <row r="941" spans="6:7" ht="14.25" customHeight="1" x14ac:dyDescent="0.35">
      <c r="F941" s="2"/>
      <c r="G941" s="3"/>
    </row>
    <row r="942" spans="6:7" ht="14.25" customHeight="1" x14ac:dyDescent="0.35">
      <c r="F942" s="2"/>
      <c r="G942" s="3"/>
    </row>
    <row r="943" spans="6:7" ht="14.25" customHeight="1" x14ac:dyDescent="0.35">
      <c r="F943" s="2"/>
      <c r="G943" s="3"/>
    </row>
    <row r="944" spans="6:7" ht="14.25" customHeight="1" x14ac:dyDescent="0.35">
      <c r="F944" s="2"/>
      <c r="G944" s="3"/>
    </row>
    <row r="945" spans="6:7" ht="14.25" customHeight="1" x14ac:dyDescent="0.35">
      <c r="F945" s="2"/>
      <c r="G945" s="3"/>
    </row>
    <row r="946" spans="6:7" ht="14.25" customHeight="1" x14ac:dyDescent="0.35">
      <c r="F946" s="2"/>
      <c r="G946" s="3"/>
    </row>
    <row r="947" spans="6:7" ht="14.25" customHeight="1" x14ac:dyDescent="0.35">
      <c r="F947" s="2"/>
      <c r="G947" s="3"/>
    </row>
    <row r="948" spans="6:7" ht="14.25" customHeight="1" x14ac:dyDescent="0.35">
      <c r="F948" s="2"/>
      <c r="G948" s="3"/>
    </row>
    <row r="949" spans="6:7" ht="14.25" customHeight="1" x14ac:dyDescent="0.35">
      <c r="F949" s="2"/>
      <c r="G949" s="3"/>
    </row>
    <row r="950" spans="6:7" ht="14.25" customHeight="1" x14ac:dyDescent="0.35">
      <c r="F950" s="2"/>
      <c r="G950" s="3"/>
    </row>
    <row r="951" spans="6:7" ht="14.25" customHeight="1" x14ac:dyDescent="0.35">
      <c r="F951" s="2"/>
      <c r="G951" s="3"/>
    </row>
    <row r="952" spans="6:7" ht="14.25" customHeight="1" x14ac:dyDescent="0.35">
      <c r="F952" s="2"/>
      <c r="G952" s="3"/>
    </row>
    <row r="953" spans="6:7" ht="14.25" customHeight="1" x14ac:dyDescent="0.35">
      <c r="F953" s="2"/>
      <c r="G953" s="3"/>
    </row>
    <row r="954" spans="6:7" ht="14.25" customHeight="1" x14ac:dyDescent="0.35">
      <c r="F954" s="2"/>
      <c r="G954" s="3"/>
    </row>
    <row r="955" spans="6:7" ht="14.25" customHeight="1" x14ac:dyDescent="0.35">
      <c r="F955" s="2"/>
      <c r="G955" s="3"/>
    </row>
    <row r="956" spans="6:7" ht="14.25" customHeight="1" x14ac:dyDescent="0.35">
      <c r="F956" s="2"/>
      <c r="G956" s="3"/>
    </row>
    <row r="957" spans="6:7" ht="14.25" customHeight="1" x14ac:dyDescent="0.35">
      <c r="F957" s="2"/>
      <c r="G957" s="3"/>
    </row>
    <row r="958" spans="6:7" ht="14.25" customHeight="1" x14ac:dyDescent="0.35">
      <c r="F958" s="2"/>
      <c r="G958" s="3"/>
    </row>
    <row r="959" spans="6:7" ht="14.25" customHeight="1" x14ac:dyDescent="0.35">
      <c r="F959" s="2"/>
      <c r="G959" s="3"/>
    </row>
    <row r="960" spans="6:7" ht="14.25" customHeight="1" x14ac:dyDescent="0.35">
      <c r="F960" s="2"/>
      <c r="G960" s="3"/>
    </row>
    <row r="961" spans="6:7" ht="14.25" customHeight="1" x14ac:dyDescent="0.35">
      <c r="F961" s="2"/>
      <c r="G961" s="3"/>
    </row>
    <row r="962" spans="6:7" ht="14.25" customHeight="1" x14ac:dyDescent="0.35">
      <c r="F962" s="2"/>
      <c r="G962" s="3"/>
    </row>
    <row r="963" spans="6:7" ht="14.25" customHeight="1" x14ac:dyDescent="0.35">
      <c r="F963" s="2"/>
      <c r="G963" s="3"/>
    </row>
    <row r="964" spans="6:7" ht="14.25" customHeight="1" x14ac:dyDescent="0.35">
      <c r="F964" s="2"/>
      <c r="G964" s="3"/>
    </row>
    <row r="965" spans="6:7" ht="14.25" customHeight="1" x14ac:dyDescent="0.35">
      <c r="F965" s="2"/>
      <c r="G965" s="3"/>
    </row>
    <row r="966" spans="6:7" ht="14.25" customHeight="1" x14ac:dyDescent="0.35">
      <c r="F966" s="2"/>
      <c r="G966" s="3"/>
    </row>
    <row r="967" spans="6:7" ht="14.25" customHeight="1" x14ac:dyDescent="0.35">
      <c r="F967" s="2"/>
      <c r="G967" s="3"/>
    </row>
    <row r="968" spans="6:7" ht="14.25" customHeight="1" x14ac:dyDescent="0.35">
      <c r="F968" s="2"/>
      <c r="G968" s="3"/>
    </row>
    <row r="969" spans="6:7" ht="14.25" customHeight="1" x14ac:dyDescent="0.35">
      <c r="F969" s="2"/>
      <c r="G969" s="3"/>
    </row>
    <row r="970" spans="6:7" ht="14.25" customHeight="1" x14ac:dyDescent="0.35">
      <c r="F970" s="2"/>
      <c r="G970" s="3"/>
    </row>
    <row r="971" spans="6:7" ht="14.25" customHeight="1" x14ac:dyDescent="0.35">
      <c r="F971" s="2"/>
      <c r="G971" s="3"/>
    </row>
    <row r="972" spans="6:7" ht="14.25" customHeight="1" x14ac:dyDescent="0.35">
      <c r="F972" s="2"/>
      <c r="G972" s="3"/>
    </row>
    <row r="973" spans="6:7" ht="14.25" customHeight="1" x14ac:dyDescent="0.35">
      <c r="F973" s="2"/>
      <c r="G973" s="3"/>
    </row>
    <row r="974" spans="6:7" ht="14.25" customHeight="1" x14ac:dyDescent="0.35">
      <c r="F974" s="2"/>
      <c r="G974" s="3"/>
    </row>
    <row r="975" spans="6:7" ht="14.25" customHeight="1" x14ac:dyDescent="0.35">
      <c r="F975" s="2"/>
      <c r="G975" s="3"/>
    </row>
    <row r="976" spans="6:7" ht="14.25" customHeight="1" x14ac:dyDescent="0.35">
      <c r="F976" s="2"/>
      <c r="G976" s="3"/>
    </row>
    <row r="977" spans="6:7" ht="14.25" customHeight="1" x14ac:dyDescent="0.35">
      <c r="F977" s="2"/>
      <c r="G977" s="3"/>
    </row>
    <row r="978" spans="6:7" ht="14.25" customHeight="1" x14ac:dyDescent="0.35">
      <c r="F978" s="2"/>
      <c r="G978" s="3"/>
    </row>
    <row r="979" spans="6:7" ht="14.25" customHeight="1" x14ac:dyDescent="0.35">
      <c r="F979" s="2"/>
      <c r="G979" s="3"/>
    </row>
    <row r="980" spans="6:7" ht="14.25" customHeight="1" x14ac:dyDescent="0.35">
      <c r="F980" s="2"/>
      <c r="G980" s="3"/>
    </row>
    <row r="981" spans="6:7" ht="14.25" customHeight="1" x14ac:dyDescent="0.35">
      <c r="F981" s="2"/>
      <c r="G981" s="3"/>
    </row>
    <row r="982" spans="6:7" ht="14.25" customHeight="1" x14ac:dyDescent="0.35">
      <c r="F982" s="2"/>
      <c r="G982" s="3"/>
    </row>
    <row r="983" spans="6:7" ht="14.25" customHeight="1" x14ac:dyDescent="0.35">
      <c r="F983" s="2"/>
      <c r="G983" s="3"/>
    </row>
    <row r="984" spans="6:7" ht="14.25" customHeight="1" x14ac:dyDescent="0.35">
      <c r="F984" s="2"/>
      <c r="G984" s="3"/>
    </row>
    <row r="985" spans="6:7" ht="14.25" customHeight="1" x14ac:dyDescent="0.35">
      <c r="F985" s="2"/>
      <c r="G985" s="3"/>
    </row>
    <row r="986" spans="6:7" ht="14.25" customHeight="1" x14ac:dyDescent="0.35">
      <c r="F986" s="2"/>
      <c r="G986" s="3"/>
    </row>
    <row r="987" spans="6:7" ht="14.25" customHeight="1" x14ac:dyDescent="0.35">
      <c r="F987" s="2"/>
      <c r="G987" s="3"/>
    </row>
    <row r="988" spans="6:7" ht="14.25" customHeight="1" x14ac:dyDescent="0.35">
      <c r="F988" s="2"/>
      <c r="G988" s="3"/>
    </row>
    <row r="989" spans="6:7" ht="14.25" customHeight="1" x14ac:dyDescent="0.35">
      <c r="F989" s="2"/>
      <c r="G989" s="3"/>
    </row>
    <row r="990" spans="6:7" ht="14.25" customHeight="1" x14ac:dyDescent="0.35">
      <c r="F990" s="2"/>
      <c r="G990" s="3"/>
    </row>
    <row r="991" spans="6:7" ht="14.25" customHeight="1" x14ac:dyDescent="0.35">
      <c r="F991" s="2"/>
      <c r="G991" s="3"/>
    </row>
    <row r="992" spans="6:7" ht="14.25" customHeight="1" x14ac:dyDescent="0.35">
      <c r="F992" s="2"/>
      <c r="G992" s="3"/>
    </row>
    <row r="993" spans="6:7" ht="14.25" customHeight="1" x14ac:dyDescent="0.35">
      <c r="F993" s="2"/>
      <c r="G993" s="3"/>
    </row>
    <row r="994" spans="6:7" ht="14.25" customHeight="1" x14ac:dyDescent="0.35">
      <c r="F994" s="2"/>
      <c r="G994" s="3"/>
    </row>
    <row r="995" spans="6:7" ht="14.25" customHeight="1" x14ac:dyDescent="0.35">
      <c r="F995" s="2"/>
      <c r="G995" s="3"/>
    </row>
    <row r="996" spans="6:7" ht="14.25" customHeight="1" x14ac:dyDescent="0.35">
      <c r="F996" s="2"/>
      <c r="G996" s="3"/>
    </row>
    <row r="997" spans="6:7" ht="14.25" customHeight="1" x14ac:dyDescent="0.35">
      <c r="F997" s="2"/>
      <c r="G997" s="3"/>
    </row>
    <row r="998" spans="6:7" ht="14.25" customHeight="1" x14ac:dyDescent="0.35">
      <c r="F998" s="2"/>
      <c r="G998" s="3"/>
    </row>
    <row r="999" spans="6:7" ht="14.25" customHeight="1" x14ac:dyDescent="0.35">
      <c r="F999" s="2"/>
      <c r="G999" s="3"/>
    </row>
    <row r="1000" spans="6:7" ht="14.25" customHeight="1" x14ac:dyDescent="0.35">
      <c r="F1000" s="2"/>
      <c r="G1000" s="3"/>
    </row>
    <row r="1001" spans="6:7" ht="14.25" customHeight="1" x14ac:dyDescent="0.35">
      <c r="F1001" s="2"/>
      <c r="G1001" s="3"/>
    </row>
    <row r="1002" spans="6:7" ht="14.25" customHeight="1" x14ac:dyDescent="0.35">
      <c r="F1002" s="2"/>
      <c r="G1002" s="3"/>
    </row>
    <row r="1003" spans="6:7" ht="14.25" customHeight="1" x14ac:dyDescent="0.35">
      <c r="F1003" s="2"/>
      <c r="G1003" s="3"/>
    </row>
    <row r="1004" spans="6:7" ht="14.25" customHeight="1" x14ac:dyDescent="0.35">
      <c r="F1004" s="2"/>
      <c r="G1004" s="3"/>
    </row>
    <row r="1005" spans="6:7" ht="14.25" customHeight="1" x14ac:dyDescent="0.35">
      <c r="F1005" s="2"/>
      <c r="G1005" s="3"/>
    </row>
    <row r="1006" spans="6:7" ht="14.25" customHeight="1" x14ac:dyDescent="0.35">
      <c r="F1006" s="2"/>
      <c r="G1006" s="3"/>
    </row>
    <row r="1007" spans="6:7" ht="14.25" customHeight="1" x14ac:dyDescent="0.35">
      <c r="F1007" s="2"/>
      <c r="G1007" s="3"/>
    </row>
    <row r="1008" spans="6:7" ht="14.25" customHeight="1" x14ac:dyDescent="0.35">
      <c r="F1008" s="2"/>
      <c r="G1008" s="3"/>
    </row>
    <row r="1009" spans="6:7" ht="14.25" customHeight="1" x14ac:dyDescent="0.35">
      <c r="F1009" s="2"/>
      <c r="G1009" s="3"/>
    </row>
    <row r="1010" spans="6:7" ht="14.25" customHeight="1" x14ac:dyDescent="0.35">
      <c r="F1010" s="2"/>
      <c r="G1010" s="3"/>
    </row>
    <row r="1011" spans="6:7" ht="14.25" customHeight="1" x14ac:dyDescent="0.35">
      <c r="F1011" s="2"/>
      <c r="G1011" s="3"/>
    </row>
    <row r="1012" spans="6:7" ht="14.25" customHeight="1" x14ac:dyDescent="0.35">
      <c r="F1012" s="2"/>
      <c r="G1012" s="3"/>
    </row>
    <row r="1013" spans="6:7" ht="14.25" customHeight="1" x14ac:dyDescent="0.35">
      <c r="F1013" s="2"/>
      <c r="G1013" s="3"/>
    </row>
    <row r="1014" spans="6:7" ht="14.25" customHeight="1" x14ac:dyDescent="0.35">
      <c r="F1014" s="2"/>
      <c r="G1014" s="3"/>
    </row>
    <row r="1015" spans="6:7" ht="14.25" customHeight="1" x14ac:dyDescent="0.35">
      <c r="F1015" s="2"/>
      <c r="G1015" s="3"/>
    </row>
    <row r="1016" spans="6:7" ht="14.25" customHeight="1" x14ac:dyDescent="0.35">
      <c r="F1016" s="2"/>
      <c r="G1016" s="3"/>
    </row>
    <row r="1017" spans="6:7" ht="14.25" customHeight="1" x14ac:dyDescent="0.35">
      <c r="F1017" s="2"/>
      <c r="G1017" s="3"/>
    </row>
    <row r="1018" spans="6:7" ht="14.25" customHeight="1" x14ac:dyDescent="0.35">
      <c r="F1018" s="2"/>
      <c r="G1018" s="3"/>
    </row>
    <row r="1019" spans="6:7" ht="14.25" customHeight="1" x14ac:dyDescent="0.35">
      <c r="F1019" s="2"/>
      <c r="G1019" s="3"/>
    </row>
    <row r="1020" spans="6:7" ht="14.25" customHeight="1" x14ac:dyDescent="0.35">
      <c r="F1020" s="2"/>
      <c r="G1020" s="3"/>
    </row>
    <row r="1021" spans="6:7" ht="14.25" customHeight="1" x14ac:dyDescent="0.35">
      <c r="F1021" s="2"/>
      <c r="G1021" s="3"/>
    </row>
    <row r="1022" spans="6:7" ht="14.25" customHeight="1" x14ac:dyDescent="0.35">
      <c r="F1022" s="2"/>
      <c r="G1022" s="3"/>
    </row>
    <row r="1023" spans="6:7" ht="14.25" customHeight="1" x14ac:dyDescent="0.35">
      <c r="F1023" s="2"/>
      <c r="G1023" s="3"/>
    </row>
    <row r="1024" spans="6:7" ht="14.25" customHeight="1" x14ac:dyDescent="0.35">
      <c r="F1024" s="2"/>
      <c r="G1024" s="3"/>
    </row>
    <row r="1025" s="1" customFormat="1" ht="15" customHeight="1" x14ac:dyDescent="0.35"/>
    <row r="1026" s="1" customFormat="1" ht="15" customHeight="1" x14ac:dyDescent="0.35"/>
    <row r="1027" s="1" customFormat="1" ht="15" customHeight="1" x14ac:dyDescent="0.35"/>
    <row r="1028" s="1" customFormat="1" ht="15" customHeight="1" x14ac:dyDescent="0.35"/>
    <row r="1029" s="1" customFormat="1" ht="15" customHeight="1" x14ac:dyDescent="0.35"/>
    <row r="1030" s="1" customFormat="1" ht="15" customHeight="1" x14ac:dyDescent="0.35"/>
    <row r="1031" s="1" customFormat="1" ht="15" customHeight="1" x14ac:dyDescent="0.35"/>
    <row r="1032" s="1" customFormat="1" ht="15" customHeight="1" x14ac:dyDescent="0.35"/>
    <row r="1033" s="1" customFormat="1" ht="15" customHeight="1" x14ac:dyDescent="0.35"/>
    <row r="1034" s="1" customFormat="1" ht="15" customHeight="1" x14ac:dyDescent="0.35"/>
  </sheetData>
  <mergeCells count="31">
    <mergeCell ref="B2:E2"/>
    <mergeCell ref="B3:E15"/>
    <mergeCell ref="B17:D17"/>
    <mergeCell ref="B18:C18"/>
    <mergeCell ref="B19:C19"/>
    <mergeCell ref="B20:C20"/>
    <mergeCell ref="B21:C21"/>
    <mergeCell ref="B22:C22"/>
    <mergeCell ref="B23:C23"/>
    <mergeCell ref="F27:H27"/>
    <mergeCell ref="F29:H29"/>
    <mergeCell ref="F28:H28"/>
    <mergeCell ref="B89:D89"/>
    <mergeCell ref="B36:C36"/>
    <mergeCell ref="B37:D37"/>
    <mergeCell ref="B50:D50"/>
    <mergeCell ref="B63:D63"/>
    <mergeCell ref="B76:D76"/>
    <mergeCell ref="F30:H30"/>
    <mergeCell ref="F31:H31"/>
    <mergeCell ref="F32:H32"/>
    <mergeCell ref="B102:D102"/>
    <mergeCell ref="B115:D115"/>
    <mergeCell ref="F120:G120"/>
    <mergeCell ref="I120:K120"/>
    <mergeCell ref="B121:D121"/>
    <mergeCell ref="F121:G121"/>
    <mergeCell ref="B119:D119"/>
    <mergeCell ref="B116:D116"/>
    <mergeCell ref="B117:D117"/>
    <mergeCell ref="B118:D118"/>
  </mergeCells>
  <dataValidations count="1">
    <dataValidation type="list" allowBlank="1" showErrorMessage="1" sqref="E77:E88 E64:E75 E103:E114 E51:E62 E38:E49 E90:E101" xr:uid="{03034696-0E02-4E13-BAC6-4D1228E25647}">
      <formula1>"QA,PIP,PCA,Other"</formula1>
    </dataValidation>
  </dataValidations>
  <pageMargins left="0.25" right="0.25" top="0.25" bottom="0.25" header="0.25" footer="0.25"/>
  <pageSetup paperSize="5" scale="36" orientation="landscape" r:id="rId1"/>
  <headerFooter>
    <oddFooter>&amp;C&amp;"-,Bold" Confidential&amp;RPage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FA39D-2E59-4D6B-B28A-67179DCEE3A5}">
  <sheetPr>
    <tabColor theme="5" tint="-0.249977111117893"/>
    <pageSetUpPr fitToPage="1"/>
  </sheetPr>
  <dimension ref="A1:AB1034"/>
  <sheetViews>
    <sheetView showGridLines="0" topLeftCell="A36" zoomScale="85" zoomScaleNormal="85" workbookViewId="0">
      <selection activeCell="B53" sqref="B53"/>
    </sheetView>
  </sheetViews>
  <sheetFormatPr defaultColWidth="12.58203125" defaultRowHeight="15" customHeight="1" x14ac:dyDescent="0.35"/>
  <cols>
    <col min="1" max="1" width="1.58203125" style="1" customWidth="1"/>
    <col min="2" max="2" width="5.25" style="1" customWidth="1"/>
    <col min="3" max="3" width="38.33203125" style="1" customWidth="1"/>
    <col min="4" max="4" width="37.58203125" style="1" customWidth="1"/>
    <col min="5" max="5" width="11" style="1" customWidth="1"/>
    <col min="6" max="6" width="10.08203125" style="1" customWidth="1"/>
    <col min="7" max="7" width="14.33203125" style="1" customWidth="1"/>
    <col min="8" max="8" width="14.08203125" style="1" customWidth="1"/>
    <col min="9" max="25" width="15.33203125" style="1" customWidth="1"/>
    <col min="26" max="26" width="8" style="1" customWidth="1"/>
    <col min="27" max="16384" width="12.58203125" style="1"/>
  </cols>
  <sheetData>
    <row r="1" spans="2:28" ht="14.25" customHeight="1" thickBot="1" x14ac:dyDescent="0.4">
      <c r="F1" s="2"/>
      <c r="G1" s="3"/>
    </row>
    <row r="2" spans="2:28" ht="16" thickBot="1" x14ac:dyDescent="0.4">
      <c r="B2" s="177" t="s">
        <v>0</v>
      </c>
      <c r="C2" s="178"/>
      <c r="D2" s="178"/>
      <c r="E2" s="179"/>
      <c r="F2" s="2"/>
      <c r="G2" s="3"/>
      <c r="H2" s="3"/>
      <c r="I2" s="3"/>
      <c r="J2" s="3"/>
      <c r="K2" s="3"/>
      <c r="L2" s="3"/>
      <c r="M2" s="3"/>
      <c r="N2" s="3"/>
      <c r="O2" s="3"/>
      <c r="P2" s="3"/>
      <c r="Q2" s="3"/>
      <c r="R2" s="3"/>
    </row>
    <row r="3" spans="2:28" ht="21.75" customHeight="1" x14ac:dyDescent="0.35">
      <c r="B3" s="180" t="s">
        <v>121</v>
      </c>
      <c r="C3" s="181"/>
      <c r="D3" s="181"/>
      <c r="E3" s="182"/>
      <c r="F3" s="2"/>
      <c r="G3" s="3"/>
      <c r="H3" s="3"/>
      <c r="I3" s="3"/>
      <c r="J3" s="3"/>
      <c r="K3" s="3"/>
      <c r="L3" s="3"/>
      <c r="M3" s="3"/>
      <c r="N3" s="3"/>
      <c r="O3" s="3"/>
      <c r="P3" s="3"/>
      <c r="Q3" s="3"/>
      <c r="R3" s="3"/>
    </row>
    <row r="4" spans="2:28" ht="19.5" customHeight="1" x14ac:dyDescent="0.35">
      <c r="B4" s="183"/>
      <c r="C4" s="184"/>
      <c r="D4" s="184"/>
      <c r="E4" s="185"/>
      <c r="F4" s="2"/>
      <c r="G4" s="3"/>
      <c r="H4" s="3"/>
      <c r="I4" s="3"/>
      <c r="J4" s="3"/>
      <c r="K4" s="3"/>
      <c r="L4" s="3"/>
      <c r="M4" s="3"/>
      <c r="N4" s="3"/>
      <c r="O4" s="3"/>
      <c r="P4" s="3"/>
      <c r="Q4" s="3"/>
      <c r="R4" s="3"/>
    </row>
    <row r="5" spans="2:28" ht="22.5" customHeight="1" x14ac:dyDescent="0.35">
      <c r="B5" s="183"/>
      <c r="C5" s="184"/>
      <c r="D5" s="184"/>
      <c r="E5" s="185"/>
      <c r="F5" s="2"/>
      <c r="G5" s="3"/>
      <c r="H5" s="3"/>
      <c r="I5" s="3"/>
      <c r="J5" s="3"/>
      <c r="K5" s="3"/>
      <c r="L5" s="3"/>
      <c r="M5" s="3"/>
      <c r="N5" s="3"/>
      <c r="O5" s="3"/>
      <c r="P5" s="3"/>
      <c r="Q5" s="3"/>
      <c r="R5" s="3"/>
    </row>
    <row r="6" spans="2:28" ht="14.25" customHeight="1" x14ac:dyDescent="0.35">
      <c r="B6" s="183"/>
      <c r="C6" s="184"/>
      <c r="D6" s="184"/>
      <c r="E6" s="185"/>
      <c r="F6" s="2"/>
      <c r="G6" s="3"/>
      <c r="H6" s="3"/>
      <c r="I6" s="3"/>
      <c r="J6" s="3"/>
      <c r="K6" s="3"/>
      <c r="L6" s="3"/>
      <c r="M6" s="3"/>
      <c r="N6" s="3"/>
      <c r="O6" s="3"/>
      <c r="P6" s="3"/>
      <c r="Q6" s="3"/>
      <c r="R6" s="3"/>
    </row>
    <row r="7" spans="2:28" ht="14.25" customHeight="1" x14ac:dyDescent="0.35">
      <c r="B7" s="183"/>
      <c r="C7" s="184"/>
      <c r="D7" s="184"/>
      <c r="E7" s="185"/>
      <c r="F7" s="2"/>
      <c r="G7" s="3"/>
      <c r="H7" s="3"/>
      <c r="I7" s="3"/>
      <c r="J7" s="3"/>
      <c r="K7" s="3"/>
      <c r="L7" s="3"/>
      <c r="M7" s="3"/>
      <c r="N7" s="3"/>
      <c r="O7" s="3"/>
      <c r="P7" s="3"/>
      <c r="Q7" s="3"/>
      <c r="R7" s="3"/>
    </row>
    <row r="8" spans="2:28" ht="14.25" customHeight="1" x14ac:dyDescent="0.35">
      <c r="B8" s="183"/>
      <c r="C8" s="184"/>
      <c r="D8" s="184"/>
      <c r="E8" s="185"/>
      <c r="F8" s="2"/>
      <c r="G8" s="3"/>
      <c r="H8" s="3"/>
      <c r="I8" s="3"/>
      <c r="J8" s="3"/>
      <c r="K8" s="3"/>
      <c r="L8" s="3"/>
      <c r="M8" s="3"/>
      <c r="N8" s="3"/>
      <c r="O8" s="3"/>
      <c r="P8" s="3"/>
      <c r="Q8" s="3"/>
      <c r="R8" s="3"/>
    </row>
    <row r="9" spans="2:28" ht="14.25" customHeight="1" x14ac:dyDescent="0.35">
      <c r="B9" s="183"/>
      <c r="C9" s="184"/>
      <c r="D9" s="184"/>
      <c r="E9" s="185"/>
      <c r="F9" s="2"/>
      <c r="G9" s="3"/>
    </row>
    <row r="10" spans="2:28" ht="14.25" customHeight="1" x14ac:dyDescent="0.35">
      <c r="B10" s="183"/>
      <c r="C10" s="184"/>
      <c r="D10" s="184"/>
      <c r="E10" s="185"/>
      <c r="F10" s="2"/>
      <c r="G10" s="3"/>
    </row>
    <row r="11" spans="2:28" ht="14.25" customHeight="1" x14ac:dyDescent="0.35">
      <c r="B11" s="183"/>
      <c r="C11" s="184"/>
      <c r="D11" s="184"/>
      <c r="E11" s="185"/>
      <c r="F11" s="2"/>
      <c r="G11" s="3"/>
    </row>
    <row r="12" spans="2:28" ht="14.25" customHeight="1" x14ac:dyDescent="0.35">
      <c r="B12" s="183"/>
      <c r="C12" s="184"/>
      <c r="D12" s="184"/>
      <c r="E12" s="185"/>
      <c r="F12" s="2"/>
      <c r="G12" s="3"/>
    </row>
    <row r="13" spans="2:28" ht="14.25" customHeight="1" x14ac:dyDescent="0.35">
      <c r="B13" s="183"/>
      <c r="C13" s="184"/>
      <c r="D13" s="184"/>
      <c r="E13" s="185"/>
      <c r="F13" s="2"/>
      <c r="G13" s="3"/>
    </row>
    <row r="14" spans="2:28" ht="14.25" customHeight="1" x14ac:dyDescent="0.35">
      <c r="B14" s="183"/>
      <c r="C14" s="184"/>
      <c r="D14" s="184"/>
      <c r="E14" s="185"/>
      <c r="F14" s="2"/>
      <c r="G14" s="3"/>
    </row>
    <row r="15" spans="2:28" ht="14.25" customHeight="1" thickBot="1" x14ac:dyDescent="0.4">
      <c r="B15" s="186"/>
      <c r="C15" s="187"/>
      <c r="D15" s="187"/>
      <c r="E15" s="188"/>
      <c r="F15" s="2"/>
      <c r="G15" s="3"/>
    </row>
    <row r="16" spans="2:28" ht="18.75" customHeight="1" thickBot="1" x14ac:dyDescent="0.4">
      <c r="E16" s="3"/>
      <c r="F16" s="3"/>
      <c r="G16" s="3"/>
      <c r="H16" s="3"/>
      <c r="I16" s="3"/>
      <c r="J16" s="3"/>
      <c r="K16" s="3"/>
      <c r="L16" s="3"/>
      <c r="M16" s="3"/>
      <c r="N16" s="3"/>
      <c r="O16" s="3"/>
      <c r="P16" s="3"/>
      <c r="Q16" s="3"/>
      <c r="R16" s="3"/>
      <c r="S16" s="3"/>
      <c r="T16" s="3"/>
      <c r="U16" s="3"/>
      <c r="V16" s="3"/>
      <c r="W16" s="3"/>
      <c r="X16" s="3"/>
      <c r="Y16" s="3"/>
      <c r="Z16" s="3"/>
      <c r="AA16" s="3"/>
      <c r="AB16" s="3"/>
    </row>
    <row r="17" spans="1:28" ht="15.5" x14ac:dyDescent="0.35">
      <c r="B17" s="130" t="s">
        <v>1</v>
      </c>
      <c r="C17" s="131"/>
      <c r="D17" s="132"/>
      <c r="E17" s="3"/>
      <c r="F17" s="3"/>
      <c r="G17" s="3"/>
      <c r="H17" s="3"/>
      <c r="I17" s="3"/>
      <c r="J17" s="3"/>
      <c r="K17" s="3"/>
      <c r="L17" s="3"/>
      <c r="M17" s="3"/>
      <c r="N17" s="3"/>
      <c r="O17" s="3"/>
      <c r="P17" s="3"/>
      <c r="Q17" s="3"/>
      <c r="R17" s="3"/>
      <c r="S17" s="3"/>
      <c r="T17" s="3"/>
      <c r="U17" s="3"/>
      <c r="V17" s="3"/>
      <c r="W17" s="3"/>
      <c r="X17" s="3"/>
      <c r="Y17" s="3"/>
      <c r="Z17" s="3"/>
      <c r="AA17" s="3"/>
      <c r="AB17" s="3"/>
    </row>
    <row r="18" spans="1:28" ht="24" customHeight="1" x14ac:dyDescent="0.35">
      <c r="B18" s="133" t="s">
        <v>2</v>
      </c>
      <c r="C18" s="134"/>
      <c r="D18" s="121" t="s">
        <v>106</v>
      </c>
      <c r="E18" s="3"/>
      <c r="F18" s="3"/>
      <c r="G18" s="3"/>
      <c r="H18" s="3"/>
      <c r="I18" s="3"/>
      <c r="J18" s="3"/>
      <c r="K18" s="3"/>
      <c r="L18" s="3"/>
      <c r="M18" s="3"/>
      <c r="N18" s="3"/>
      <c r="O18" s="3"/>
      <c r="P18" s="3"/>
      <c r="Q18" s="3"/>
      <c r="R18" s="3"/>
      <c r="S18" s="3"/>
      <c r="T18" s="3"/>
      <c r="U18" s="3"/>
      <c r="V18" s="3"/>
      <c r="W18" s="3"/>
      <c r="X18" s="3"/>
      <c r="Y18" s="3"/>
      <c r="Z18" s="3"/>
      <c r="AA18" s="3"/>
      <c r="AB18" s="3"/>
    </row>
    <row r="19" spans="1:28" ht="24" customHeight="1" x14ac:dyDescent="0.35">
      <c r="B19" s="133" t="s">
        <v>3</v>
      </c>
      <c r="C19" s="134"/>
      <c r="D19" s="122">
        <v>100</v>
      </c>
      <c r="E19" s="3"/>
      <c r="F19" s="3"/>
      <c r="G19" s="3"/>
      <c r="H19" s="3"/>
      <c r="I19" s="3"/>
      <c r="J19" s="3"/>
      <c r="K19" s="3"/>
      <c r="L19" s="3"/>
      <c r="M19" s="3"/>
      <c r="N19" s="3"/>
      <c r="O19" s="3"/>
      <c r="P19" s="3"/>
      <c r="Q19" s="3"/>
      <c r="R19" s="3"/>
      <c r="S19" s="3"/>
      <c r="T19" s="3"/>
      <c r="U19" s="3"/>
      <c r="V19" s="3"/>
      <c r="W19" s="3"/>
      <c r="X19" s="3"/>
      <c r="Y19" s="3"/>
      <c r="Z19" s="3"/>
      <c r="AA19" s="3"/>
      <c r="AB19" s="3"/>
    </row>
    <row r="20" spans="1:28" ht="24" customHeight="1" x14ac:dyDescent="0.35">
      <c r="B20" s="133" t="s">
        <v>4</v>
      </c>
      <c r="C20" s="134"/>
      <c r="D20" s="123">
        <v>7.2499999999999995E-2</v>
      </c>
      <c r="E20" s="3"/>
      <c r="F20" s="3"/>
      <c r="G20" s="3"/>
      <c r="H20" s="3"/>
      <c r="I20" s="3"/>
      <c r="J20" s="3"/>
      <c r="K20" s="3"/>
      <c r="L20" s="3"/>
      <c r="M20" s="3"/>
      <c r="N20" s="3"/>
      <c r="O20" s="3"/>
      <c r="P20" s="3"/>
      <c r="Q20" s="3"/>
      <c r="R20" s="3"/>
      <c r="S20" s="3"/>
      <c r="T20" s="3"/>
      <c r="U20" s="3"/>
      <c r="V20" s="3"/>
      <c r="W20" s="3"/>
      <c r="X20" s="3"/>
      <c r="Y20" s="3"/>
      <c r="Z20" s="3"/>
      <c r="AA20" s="3"/>
      <c r="AB20" s="3"/>
    </row>
    <row r="21" spans="1:28" ht="24" customHeight="1" x14ac:dyDescent="0.35">
      <c r="B21" s="133" t="s">
        <v>5</v>
      </c>
      <c r="C21" s="134"/>
      <c r="D21" s="121"/>
      <c r="E21" s="3"/>
      <c r="F21" s="3"/>
      <c r="G21" s="3"/>
      <c r="H21" s="3"/>
      <c r="I21" s="3"/>
      <c r="J21" s="3"/>
      <c r="K21" s="3"/>
      <c r="L21" s="3"/>
      <c r="M21" s="3"/>
      <c r="N21" s="3"/>
      <c r="O21" s="3"/>
      <c r="P21" s="3"/>
      <c r="Q21" s="3"/>
      <c r="R21" s="3"/>
      <c r="S21" s="3"/>
      <c r="T21" s="3"/>
      <c r="U21" s="3"/>
      <c r="V21" s="3"/>
      <c r="W21" s="3"/>
      <c r="X21" s="3"/>
      <c r="Y21" s="3"/>
      <c r="Z21" s="3"/>
      <c r="AA21" s="3"/>
      <c r="AB21" s="3"/>
    </row>
    <row r="22" spans="1:28" ht="24" customHeight="1" x14ac:dyDescent="0.35">
      <c r="B22" s="135" t="s">
        <v>6</v>
      </c>
      <c r="C22" s="134"/>
      <c r="D22" s="124"/>
      <c r="E22" s="3"/>
      <c r="F22" s="3"/>
      <c r="G22" s="3"/>
      <c r="H22" s="3"/>
      <c r="I22" s="3"/>
      <c r="J22" s="3"/>
      <c r="K22" s="3"/>
      <c r="L22" s="3"/>
      <c r="M22" s="3"/>
      <c r="N22" s="3"/>
      <c r="O22" s="3"/>
      <c r="P22" s="3"/>
      <c r="Q22" s="3"/>
      <c r="R22" s="3"/>
      <c r="S22" s="3"/>
      <c r="T22" s="3"/>
      <c r="U22" s="3"/>
      <c r="V22" s="3"/>
      <c r="W22" s="3"/>
      <c r="X22" s="3"/>
      <c r="Y22" s="3"/>
      <c r="Z22" s="3"/>
      <c r="AA22" s="3"/>
      <c r="AB22" s="3"/>
    </row>
    <row r="23" spans="1:28" ht="24" customHeight="1" thickBot="1" x14ac:dyDescent="0.4">
      <c r="B23" s="128" t="s">
        <v>7</v>
      </c>
      <c r="C23" s="129"/>
      <c r="D23" s="125">
        <v>2028</v>
      </c>
      <c r="E23" s="3"/>
      <c r="F23" s="3"/>
      <c r="G23" s="3"/>
      <c r="H23" s="3"/>
      <c r="I23" s="3"/>
      <c r="J23" s="3"/>
      <c r="K23" s="3"/>
      <c r="L23" s="3"/>
      <c r="M23" s="3"/>
      <c r="N23" s="3"/>
      <c r="O23" s="3"/>
      <c r="P23" s="3"/>
      <c r="Q23" s="3"/>
      <c r="R23" s="3"/>
      <c r="S23" s="3"/>
      <c r="T23" s="3"/>
      <c r="U23" s="3"/>
      <c r="V23" s="3"/>
      <c r="W23" s="3"/>
      <c r="X23" s="3"/>
      <c r="Y23" s="3"/>
      <c r="Z23" s="3"/>
      <c r="AA23" s="3"/>
      <c r="AB23" s="3"/>
    </row>
    <row r="24" spans="1:28" ht="14.25" customHeight="1" x14ac:dyDescent="0.35">
      <c r="E24" s="3"/>
      <c r="F24" s="3"/>
      <c r="G24" s="3"/>
      <c r="H24" s="3"/>
      <c r="I24" s="3"/>
      <c r="J24" s="3"/>
      <c r="K24" s="3"/>
      <c r="L24" s="3"/>
      <c r="M24" s="3"/>
      <c r="N24" s="3"/>
      <c r="O24" s="3"/>
      <c r="P24" s="3"/>
      <c r="Q24" s="3"/>
      <c r="R24" s="3"/>
      <c r="S24" s="3"/>
      <c r="T24" s="3"/>
      <c r="U24" s="3"/>
      <c r="V24" s="3"/>
      <c r="W24" s="3"/>
      <c r="X24" s="3"/>
      <c r="Y24" s="3"/>
      <c r="Z24" s="3"/>
      <c r="AA24" s="3"/>
      <c r="AB24" s="3"/>
    </row>
    <row r="25" spans="1:28" ht="24" thickBot="1" x14ac:dyDescent="0.6">
      <c r="B25" s="4" t="s">
        <v>8</v>
      </c>
      <c r="C25" s="5"/>
      <c r="D25" s="5"/>
      <c r="E25" s="5"/>
      <c r="F25" s="5"/>
      <c r="G25" s="5"/>
      <c r="H25" s="5"/>
      <c r="I25" s="5"/>
      <c r="J25" s="5"/>
      <c r="K25" s="5"/>
      <c r="L25" s="5"/>
      <c r="M25" s="5"/>
      <c r="N25" s="5"/>
      <c r="O25" s="5"/>
      <c r="P25" s="5"/>
      <c r="Q25" s="5"/>
      <c r="R25" s="5"/>
      <c r="S25" s="5"/>
      <c r="T25" s="5"/>
      <c r="U25" s="5"/>
      <c r="V25" s="5"/>
      <c r="W25" s="5"/>
      <c r="X25" s="5"/>
      <c r="Y25" s="5"/>
      <c r="Z25" s="5"/>
    </row>
    <row r="26" spans="1:28" s="18" customFormat="1" ht="16" thickBot="1" x14ac:dyDescent="0.4">
      <c r="A26" s="1"/>
      <c r="F26" s="19"/>
      <c r="G26" s="20"/>
    </row>
    <row r="27" spans="1:28" s="18" customFormat="1" ht="15.5" x14ac:dyDescent="0.35">
      <c r="A27" s="1"/>
      <c r="B27" s="48"/>
      <c r="C27" s="49"/>
      <c r="D27" s="49"/>
      <c r="E27" s="49"/>
      <c r="F27" s="189">
        <f>D23</f>
        <v>2028</v>
      </c>
      <c r="G27" s="190"/>
      <c r="H27" s="191"/>
      <c r="I27" s="51" t="s">
        <v>10</v>
      </c>
      <c r="J27" s="51" t="s">
        <v>11</v>
      </c>
      <c r="K27" s="51" t="s">
        <v>12</v>
      </c>
      <c r="L27" s="51" t="s">
        <v>13</v>
      </c>
      <c r="M27" s="51" t="s">
        <v>14</v>
      </c>
      <c r="N27" s="51" t="s">
        <v>15</v>
      </c>
      <c r="O27" s="51" t="s">
        <v>16</v>
      </c>
      <c r="P27" s="51" t="s">
        <v>17</v>
      </c>
      <c r="Q27" s="51" t="s">
        <v>18</v>
      </c>
      <c r="R27" s="51" t="s">
        <v>19</v>
      </c>
      <c r="S27" s="51" t="s">
        <v>20</v>
      </c>
      <c r="T27" s="52" t="s">
        <v>21</v>
      </c>
    </row>
    <row r="28" spans="1:28" s="18" customFormat="1" ht="15.5" x14ac:dyDescent="0.35">
      <c r="A28" s="1"/>
      <c r="B28" s="53" t="s">
        <v>22</v>
      </c>
      <c r="C28" s="54"/>
      <c r="D28" s="54"/>
      <c r="E28" s="54"/>
      <c r="F28" s="197">
        <f>SUM(I28:T28)</f>
        <v>1200000</v>
      </c>
      <c r="G28" s="198"/>
      <c r="H28" s="199"/>
      <c r="I28" s="67">
        <v>100000</v>
      </c>
      <c r="J28" s="67">
        <v>100000</v>
      </c>
      <c r="K28" s="67">
        <v>100000</v>
      </c>
      <c r="L28" s="67">
        <v>100000</v>
      </c>
      <c r="M28" s="67">
        <v>100000</v>
      </c>
      <c r="N28" s="67">
        <v>100000</v>
      </c>
      <c r="O28" s="67">
        <v>100000</v>
      </c>
      <c r="P28" s="67">
        <v>100000</v>
      </c>
      <c r="Q28" s="67">
        <v>100000</v>
      </c>
      <c r="R28" s="67">
        <v>100000</v>
      </c>
      <c r="S28" s="67">
        <v>100000</v>
      </c>
      <c r="T28" s="68">
        <v>100000</v>
      </c>
    </row>
    <row r="29" spans="1:28" s="18" customFormat="1" ht="15.5" x14ac:dyDescent="0.35">
      <c r="A29" s="1"/>
      <c r="B29" s="53" t="s">
        <v>23</v>
      </c>
      <c r="C29" s="54"/>
      <c r="D29" s="54"/>
      <c r="E29" s="54"/>
      <c r="F29" s="194">
        <v>0.04</v>
      </c>
      <c r="G29" s="195"/>
      <c r="H29" s="196"/>
      <c r="I29" s="17">
        <f t="shared" ref="I29:T29" si="0">$F$29</f>
        <v>0.04</v>
      </c>
      <c r="J29" s="17">
        <f t="shared" si="0"/>
        <v>0.04</v>
      </c>
      <c r="K29" s="17">
        <f t="shared" si="0"/>
        <v>0.04</v>
      </c>
      <c r="L29" s="17">
        <f t="shared" si="0"/>
        <v>0.04</v>
      </c>
      <c r="M29" s="17">
        <f t="shared" si="0"/>
        <v>0.04</v>
      </c>
      <c r="N29" s="17">
        <f t="shared" si="0"/>
        <v>0.04</v>
      </c>
      <c r="O29" s="17">
        <f t="shared" si="0"/>
        <v>0.04</v>
      </c>
      <c r="P29" s="17">
        <f t="shared" si="0"/>
        <v>0.04</v>
      </c>
      <c r="Q29" s="17">
        <f t="shared" si="0"/>
        <v>0.04</v>
      </c>
      <c r="R29" s="17">
        <f t="shared" si="0"/>
        <v>0.04</v>
      </c>
      <c r="S29" s="17">
        <f t="shared" si="0"/>
        <v>0.04</v>
      </c>
      <c r="T29" s="55">
        <f t="shared" si="0"/>
        <v>0.04</v>
      </c>
    </row>
    <row r="30" spans="1:28" s="18" customFormat="1" ht="15.5" x14ac:dyDescent="0.35">
      <c r="A30" s="1"/>
      <c r="B30" s="53" t="s">
        <v>24</v>
      </c>
      <c r="C30" s="54"/>
      <c r="D30" s="54"/>
      <c r="E30" s="54"/>
      <c r="F30" s="197">
        <f>F28*F29</f>
        <v>48000</v>
      </c>
      <c r="G30" s="198"/>
      <c r="H30" s="199"/>
      <c r="I30" s="66">
        <f t="shared" ref="I30:T30" si="1">I28*I29</f>
        <v>4000</v>
      </c>
      <c r="J30" s="66">
        <f t="shared" si="1"/>
        <v>4000</v>
      </c>
      <c r="K30" s="66">
        <f t="shared" si="1"/>
        <v>4000</v>
      </c>
      <c r="L30" s="66">
        <f t="shared" si="1"/>
        <v>4000</v>
      </c>
      <c r="M30" s="66">
        <f t="shared" si="1"/>
        <v>4000</v>
      </c>
      <c r="N30" s="66">
        <f t="shared" si="1"/>
        <v>4000</v>
      </c>
      <c r="O30" s="66">
        <f t="shared" si="1"/>
        <v>4000</v>
      </c>
      <c r="P30" s="66">
        <f t="shared" si="1"/>
        <v>4000</v>
      </c>
      <c r="Q30" s="66">
        <f t="shared" si="1"/>
        <v>4000</v>
      </c>
      <c r="R30" s="66">
        <f t="shared" si="1"/>
        <v>4000</v>
      </c>
      <c r="S30" s="66">
        <f t="shared" si="1"/>
        <v>4000</v>
      </c>
      <c r="T30" s="71">
        <f t="shared" si="1"/>
        <v>4000</v>
      </c>
    </row>
    <row r="31" spans="1:28" s="18" customFormat="1" ht="15.5" x14ac:dyDescent="0.35">
      <c r="A31" s="1"/>
      <c r="B31" s="53" t="s">
        <v>120</v>
      </c>
      <c r="C31" s="54"/>
      <c r="D31" s="54"/>
      <c r="E31" s="54"/>
      <c r="F31" s="197">
        <f>SUM(I31:T31)</f>
        <v>35125.640549999996</v>
      </c>
      <c r="G31" s="198"/>
      <c r="H31" s="199"/>
      <c r="I31" s="66">
        <f>N121</f>
        <v>35125.640549999996</v>
      </c>
      <c r="J31" s="66">
        <f t="shared" ref="J31:T31" si="2">O121</f>
        <v>0</v>
      </c>
      <c r="K31" s="66">
        <f t="shared" si="2"/>
        <v>0</v>
      </c>
      <c r="L31" s="66">
        <f t="shared" si="2"/>
        <v>0</v>
      </c>
      <c r="M31" s="66">
        <f t="shared" si="2"/>
        <v>0</v>
      </c>
      <c r="N31" s="66">
        <f t="shared" si="2"/>
        <v>0</v>
      </c>
      <c r="O31" s="66">
        <f t="shared" si="2"/>
        <v>0</v>
      </c>
      <c r="P31" s="66">
        <f t="shared" si="2"/>
        <v>0</v>
      </c>
      <c r="Q31" s="66">
        <f t="shared" si="2"/>
        <v>0</v>
      </c>
      <c r="R31" s="66">
        <f t="shared" si="2"/>
        <v>0</v>
      </c>
      <c r="S31" s="66">
        <f t="shared" si="2"/>
        <v>0</v>
      </c>
      <c r="T31" s="71">
        <f t="shared" si="2"/>
        <v>0</v>
      </c>
    </row>
    <row r="32" spans="1:28" s="18" customFormat="1" ht="16" thickBot="1" x14ac:dyDescent="0.4">
      <c r="A32" s="1"/>
      <c r="B32" s="56" t="s">
        <v>119</v>
      </c>
      <c r="C32" s="57"/>
      <c r="D32" s="57"/>
      <c r="E32" s="57"/>
      <c r="F32" s="200">
        <f>F31/F28</f>
        <v>2.9271367124999996E-2</v>
      </c>
      <c r="G32" s="201"/>
      <c r="H32" s="202"/>
      <c r="I32" s="64">
        <f>I31/I28</f>
        <v>0.35125640549999998</v>
      </c>
      <c r="J32" s="64">
        <f t="shared" ref="J32:T32" si="3">J31/J28</f>
        <v>0</v>
      </c>
      <c r="K32" s="64">
        <f t="shared" si="3"/>
        <v>0</v>
      </c>
      <c r="L32" s="64">
        <f t="shared" si="3"/>
        <v>0</v>
      </c>
      <c r="M32" s="64">
        <f t="shared" si="3"/>
        <v>0</v>
      </c>
      <c r="N32" s="64">
        <f t="shared" si="3"/>
        <v>0</v>
      </c>
      <c r="O32" s="64">
        <f t="shared" si="3"/>
        <v>0</v>
      </c>
      <c r="P32" s="64">
        <f t="shared" si="3"/>
        <v>0</v>
      </c>
      <c r="Q32" s="64">
        <f t="shared" si="3"/>
        <v>0</v>
      </c>
      <c r="R32" s="64">
        <f t="shared" si="3"/>
        <v>0</v>
      </c>
      <c r="S32" s="64">
        <f t="shared" si="3"/>
        <v>0</v>
      </c>
      <c r="T32" s="72">
        <f t="shared" si="3"/>
        <v>0</v>
      </c>
    </row>
    <row r="33" spans="1:26" s="18" customFormat="1" ht="12.75" customHeight="1" x14ac:dyDescent="0.35">
      <c r="A33" s="1"/>
      <c r="F33" s="19"/>
      <c r="G33" s="20"/>
    </row>
    <row r="34" spans="1:26" s="18" customFormat="1" ht="19" thickBot="1" x14ac:dyDescent="0.5">
      <c r="A34" s="1"/>
      <c r="B34" s="29" t="str">
        <f>D23&amp;" "&amp;  D18 &amp; " " &amp; "Capital Plan"</f>
        <v>2028 Hotel Capital Plan</v>
      </c>
      <c r="C34" s="21"/>
      <c r="D34" s="21"/>
      <c r="E34" s="21"/>
      <c r="F34" s="22"/>
      <c r="G34" s="23"/>
      <c r="H34" s="21"/>
      <c r="I34" s="21"/>
      <c r="J34" s="21"/>
      <c r="K34" s="21"/>
      <c r="L34" s="21"/>
      <c r="M34" s="21"/>
      <c r="N34" s="21"/>
      <c r="O34" s="21"/>
      <c r="P34" s="21"/>
      <c r="Q34" s="21"/>
      <c r="R34" s="21"/>
      <c r="S34" s="21"/>
      <c r="T34" s="21"/>
      <c r="U34" s="21"/>
      <c r="V34" s="21"/>
      <c r="W34" s="21"/>
      <c r="X34" s="21"/>
      <c r="Y34" s="21"/>
    </row>
    <row r="35" spans="1:26" s="18" customFormat="1" ht="14.25" customHeight="1" thickBot="1" x14ac:dyDescent="0.4">
      <c r="A35" s="1"/>
      <c r="F35" s="19"/>
      <c r="G35" s="20"/>
    </row>
    <row r="36" spans="1:26" s="18" customFormat="1" ht="42" customHeight="1" x14ac:dyDescent="0.35">
      <c r="A36" s="1"/>
      <c r="B36" s="139" t="s">
        <v>25</v>
      </c>
      <c r="C36" s="192"/>
      <c r="D36" s="91" t="s">
        <v>26</v>
      </c>
      <c r="E36" s="92" t="s">
        <v>112</v>
      </c>
      <c r="F36" s="93" t="s">
        <v>27</v>
      </c>
      <c r="G36" s="94" t="s">
        <v>28</v>
      </c>
      <c r="H36" s="94" t="s">
        <v>29</v>
      </c>
      <c r="I36" s="94" t="s">
        <v>30</v>
      </c>
      <c r="J36" s="94" t="s">
        <v>31</v>
      </c>
      <c r="K36" s="94" t="s">
        <v>32</v>
      </c>
      <c r="L36" s="94" t="s">
        <v>33</v>
      </c>
      <c r="M36" s="94" t="s">
        <v>34</v>
      </c>
      <c r="N36" s="94" t="s">
        <v>10</v>
      </c>
      <c r="O36" s="94" t="s">
        <v>11</v>
      </c>
      <c r="P36" s="94" t="s">
        <v>12</v>
      </c>
      <c r="Q36" s="94" t="s">
        <v>13</v>
      </c>
      <c r="R36" s="94" t="s">
        <v>14</v>
      </c>
      <c r="S36" s="94" t="s">
        <v>15</v>
      </c>
      <c r="T36" s="94" t="s">
        <v>16</v>
      </c>
      <c r="U36" s="94" t="s">
        <v>17</v>
      </c>
      <c r="V36" s="94" t="s">
        <v>18</v>
      </c>
      <c r="W36" s="94" t="s">
        <v>19</v>
      </c>
      <c r="X36" s="94" t="s">
        <v>20</v>
      </c>
      <c r="Y36" s="95" t="s">
        <v>21</v>
      </c>
      <c r="Z36" s="24"/>
    </row>
    <row r="37" spans="1:26" s="18" customFormat="1" ht="15.5" x14ac:dyDescent="0.35">
      <c r="A37" s="1"/>
      <c r="B37" s="193" t="s">
        <v>35</v>
      </c>
      <c r="C37" s="137"/>
      <c r="D37" s="138"/>
      <c r="E37" s="6"/>
      <c r="F37" s="7"/>
      <c r="G37" s="8"/>
      <c r="H37" s="8">
        <f t="shared" ref="H37:Y37" si="4">SUM(H38:H49)</f>
        <v>1</v>
      </c>
      <c r="I37" s="8">
        <f t="shared" si="4"/>
        <v>12151</v>
      </c>
      <c r="J37" s="8">
        <f t="shared" si="4"/>
        <v>880.94749999999999</v>
      </c>
      <c r="K37" s="8">
        <f t="shared" si="4"/>
        <v>651.59737500000006</v>
      </c>
      <c r="L37" s="8">
        <f t="shared" si="4"/>
        <v>13683.544875</v>
      </c>
      <c r="M37" s="8">
        <f t="shared" si="4"/>
        <v>13683.544875</v>
      </c>
      <c r="N37" s="8">
        <f t="shared" si="4"/>
        <v>13683.544875</v>
      </c>
      <c r="O37" s="8">
        <f t="shared" si="4"/>
        <v>0</v>
      </c>
      <c r="P37" s="8">
        <f t="shared" si="4"/>
        <v>0</v>
      </c>
      <c r="Q37" s="8">
        <f t="shared" si="4"/>
        <v>0</v>
      </c>
      <c r="R37" s="8">
        <f t="shared" si="4"/>
        <v>0</v>
      </c>
      <c r="S37" s="8">
        <f t="shared" si="4"/>
        <v>0</v>
      </c>
      <c r="T37" s="8">
        <f t="shared" si="4"/>
        <v>0</v>
      </c>
      <c r="U37" s="8">
        <f t="shared" si="4"/>
        <v>0</v>
      </c>
      <c r="V37" s="8">
        <f t="shared" si="4"/>
        <v>0</v>
      </c>
      <c r="W37" s="8">
        <f t="shared" si="4"/>
        <v>0</v>
      </c>
      <c r="X37" s="8">
        <f t="shared" si="4"/>
        <v>0</v>
      </c>
      <c r="Y37" s="96">
        <f t="shared" si="4"/>
        <v>0</v>
      </c>
    </row>
    <row r="38" spans="1:26" s="18" customFormat="1" ht="14.25" customHeight="1" x14ac:dyDescent="0.35">
      <c r="A38" s="1"/>
      <c r="B38" s="97" t="s">
        <v>36</v>
      </c>
      <c r="C38" s="9" t="s">
        <v>101</v>
      </c>
      <c r="D38" s="9" t="s">
        <v>102</v>
      </c>
      <c r="E38" s="9" t="s">
        <v>108</v>
      </c>
      <c r="F38" s="10">
        <v>18</v>
      </c>
      <c r="G38" s="11">
        <v>675</v>
      </c>
      <c r="H38" s="11">
        <v>1</v>
      </c>
      <c r="I38" s="12">
        <f t="shared" ref="I38:I49" si="5">(F38*G38)+H38</f>
        <v>12151</v>
      </c>
      <c r="J38" s="12">
        <f t="shared" ref="J38:J49" si="6">I38*$D$20</f>
        <v>880.94749999999999</v>
      </c>
      <c r="K38" s="12">
        <f t="shared" ref="K38:K49" si="7">SUM(I38:J38)*5%</f>
        <v>651.59737500000006</v>
      </c>
      <c r="L38" s="12">
        <f t="shared" ref="L38:L49" si="8">SUM(I38:K38)</f>
        <v>13683.544875</v>
      </c>
      <c r="M38" s="12">
        <f t="shared" ref="M38:M49" si="9">SUM(N38, O38,P38,Q38,R38,S38,T38,U38,V38,W38,X38,Y38)</f>
        <v>13683.544875</v>
      </c>
      <c r="N38" s="59">
        <f>L38</f>
        <v>13683.544875</v>
      </c>
      <c r="O38" s="59"/>
      <c r="P38" s="59"/>
      <c r="Q38" s="59"/>
      <c r="R38" s="59"/>
      <c r="S38" s="59"/>
      <c r="T38" s="59"/>
      <c r="U38" s="59"/>
      <c r="V38" s="59"/>
      <c r="W38" s="59"/>
      <c r="X38" s="59"/>
      <c r="Y38" s="98"/>
    </row>
    <row r="39" spans="1:26" s="18" customFormat="1" ht="14.25" customHeight="1" x14ac:dyDescent="0.35">
      <c r="A39" s="1"/>
      <c r="B39" s="97" t="s">
        <v>37</v>
      </c>
      <c r="C39" s="9"/>
      <c r="D39" s="9"/>
      <c r="E39" s="9"/>
      <c r="F39" s="10"/>
      <c r="G39" s="11"/>
      <c r="H39" s="11"/>
      <c r="I39" s="12">
        <f t="shared" si="5"/>
        <v>0</v>
      </c>
      <c r="J39" s="12">
        <f t="shared" si="6"/>
        <v>0</v>
      </c>
      <c r="K39" s="12">
        <f t="shared" si="7"/>
        <v>0</v>
      </c>
      <c r="L39" s="12">
        <f t="shared" si="8"/>
        <v>0</v>
      </c>
      <c r="M39" s="12">
        <f t="shared" si="9"/>
        <v>0</v>
      </c>
      <c r="N39" s="59"/>
      <c r="O39" s="59"/>
      <c r="P39" s="59"/>
      <c r="Q39" s="59"/>
      <c r="R39" s="59"/>
      <c r="S39" s="59"/>
      <c r="T39" s="59"/>
      <c r="U39" s="59"/>
      <c r="V39" s="59"/>
      <c r="W39" s="59"/>
      <c r="X39" s="59"/>
      <c r="Y39" s="98"/>
    </row>
    <row r="40" spans="1:26" s="18" customFormat="1" ht="14.25" customHeight="1" x14ac:dyDescent="0.35">
      <c r="A40" s="1"/>
      <c r="B40" s="97" t="s">
        <v>38</v>
      </c>
      <c r="C40" s="9"/>
      <c r="D40" s="9"/>
      <c r="E40" s="9"/>
      <c r="F40" s="10"/>
      <c r="G40" s="11"/>
      <c r="H40" s="11"/>
      <c r="I40" s="12">
        <f t="shared" si="5"/>
        <v>0</v>
      </c>
      <c r="J40" s="12">
        <f t="shared" si="6"/>
        <v>0</v>
      </c>
      <c r="K40" s="12">
        <f t="shared" si="7"/>
        <v>0</v>
      </c>
      <c r="L40" s="12">
        <f t="shared" si="8"/>
        <v>0</v>
      </c>
      <c r="M40" s="12">
        <f t="shared" si="9"/>
        <v>0</v>
      </c>
      <c r="N40" s="59"/>
      <c r="O40" s="59"/>
      <c r="P40" s="59"/>
      <c r="Q40" s="59"/>
      <c r="R40" s="59"/>
      <c r="S40" s="59"/>
      <c r="T40" s="59"/>
      <c r="U40" s="59"/>
      <c r="V40" s="59"/>
      <c r="W40" s="59"/>
      <c r="X40" s="59"/>
      <c r="Y40" s="98"/>
    </row>
    <row r="41" spans="1:26" s="18" customFormat="1" ht="14.25" customHeight="1" x14ac:dyDescent="0.35">
      <c r="A41" s="1"/>
      <c r="B41" s="97" t="s">
        <v>39</v>
      </c>
      <c r="C41" s="9"/>
      <c r="D41" s="9"/>
      <c r="E41" s="9"/>
      <c r="F41" s="10"/>
      <c r="G41" s="11"/>
      <c r="H41" s="11"/>
      <c r="I41" s="12">
        <f t="shared" si="5"/>
        <v>0</v>
      </c>
      <c r="J41" s="12">
        <f t="shared" si="6"/>
        <v>0</v>
      </c>
      <c r="K41" s="12">
        <f t="shared" si="7"/>
        <v>0</v>
      </c>
      <c r="L41" s="12">
        <f t="shared" si="8"/>
        <v>0</v>
      </c>
      <c r="M41" s="12">
        <f t="shared" si="9"/>
        <v>0</v>
      </c>
      <c r="N41" s="59"/>
      <c r="O41" s="59"/>
      <c r="P41" s="59"/>
      <c r="Q41" s="59"/>
      <c r="R41" s="59"/>
      <c r="S41" s="59"/>
      <c r="T41" s="59"/>
      <c r="U41" s="59"/>
      <c r="V41" s="59"/>
      <c r="W41" s="59"/>
      <c r="X41" s="59"/>
      <c r="Y41" s="98"/>
    </row>
    <row r="42" spans="1:26" s="18" customFormat="1" ht="14.25" customHeight="1" x14ac:dyDescent="0.35">
      <c r="A42" s="1"/>
      <c r="B42" s="97" t="s">
        <v>40</v>
      </c>
      <c r="C42" s="9"/>
      <c r="D42" s="9"/>
      <c r="E42" s="9"/>
      <c r="F42" s="10"/>
      <c r="G42" s="11"/>
      <c r="H42" s="11"/>
      <c r="I42" s="12">
        <f t="shared" si="5"/>
        <v>0</v>
      </c>
      <c r="J42" s="12">
        <f t="shared" si="6"/>
        <v>0</v>
      </c>
      <c r="K42" s="12">
        <f t="shared" si="7"/>
        <v>0</v>
      </c>
      <c r="L42" s="12">
        <f t="shared" si="8"/>
        <v>0</v>
      </c>
      <c r="M42" s="12">
        <f t="shared" si="9"/>
        <v>0</v>
      </c>
      <c r="N42" s="59"/>
      <c r="O42" s="59"/>
      <c r="P42" s="59"/>
      <c r="Q42" s="59"/>
      <c r="R42" s="59"/>
      <c r="S42" s="59"/>
      <c r="T42" s="59"/>
      <c r="U42" s="59"/>
      <c r="V42" s="59"/>
      <c r="W42" s="59"/>
      <c r="X42" s="59"/>
      <c r="Y42" s="98"/>
    </row>
    <row r="43" spans="1:26" s="18" customFormat="1" ht="14.25" customHeight="1" x14ac:dyDescent="0.35">
      <c r="A43" s="1"/>
      <c r="B43" s="97" t="s">
        <v>41</v>
      </c>
      <c r="C43" s="9"/>
      <c r="D43" s="9"/>
      <c r="E43" s="9"/>
      <c r="F43" s="10"/>
      <c r="G43" s="11"/>
      <c r="H43" s="11"/>
      <c r="I43" s="12">
        <f t="shared" si="5"/>
        <v>0</v>
      </c>
      <c r="J43" s="12">
        <f t="shared" si="6"/>
        <v>0</v>
      </c>
      <c r="K43" s="12">
        <f t="shared" si="7"/>
        <v>0</v>
      </c>
      <c r="L43" s="12">
        <f t="shared" si="8"/>
        <v>0</v>
      </c>
      <c r="M43" s="12">
        <f t="shared" si="9"/>
        <v>0</v>
      </c>
      <c r="N43" s="59"/>
      <c r="O43" s="59"/>
      <c r="P43" s="59"/>
      <c r="Q43" s="59"/>
      <c r="R43" s="59"/>
      <c r="S43" s="59"/>
      <c r="T43" s="59"/>
      <c r="U43" s="59"/>
      <c r="V43" s="59"/>
      <c r="W43" s="59"/>
      <c r="X43" s="59"/>
      <c r="Y43" s="98"/>
    </row>
    <row r="44" spans="1:26" s="18" customFormat="1" ht="14.25" customHeight="1" x14ac:dyDescent="0.35">
      <c r="A44" s="1"/>
      <c r="B44" s="97" t="s">
        <v>42</v>
      </c>
      <c r="C44" s="9"/>
      <c r="D44" s="9"/>
      <c r="E44" s="9"/>
      <c r="F44" s="10"/>
      <c r="G44" s="11"/>
      <c r="H44" s="11"/>
      <c r="I44" s="12">
        <f t="shared" ref="I44:I45" si="10">(F44*G44)+H44</f>
        <v>0</v>
      </c>
      <c r="J44" s="12">
        <f t="shared" ref="J44:J45" si="11">I44*$D$20</f>
        <v>0</v>
      </c>
      <c r="K44" s="12">
        <f t="shared" ref="K44:K45" si="12">SUM(I44:J44)*5%</f>
        <v>0</v>
      </c>
      <c r="L44" s="12">
        <f t="shared" ref="L44:L45" si="13">SUM(I44:K44)</f>
        <v>0</v>
      </c>
      <c r="M44" s="12">
        <f t="shared" ref="M44:M45" si="14">SUM(N44, O44,P44,Q44,R44,S44,T44,U44,V44,W44,X44,Y44)</f>
        <v>0</v>
      </c>
      <c r="N44" s="59"/>
      <c r="O44" s="59"/>
      <c r="P44" s="59"/>
      <c r="Q44" s="59"/>
      <c r="R44" s="59"/>
      <c r="S44" s="59"/>
      <c r="T44" s="59"/>
      <c r="U44" s="59"/>
      <c r="V44" s="59"/>
      <c r="W44" s="59"/>
      <c r="X44" s="59"/>
      <c r="Y44" s="98"/>
    </row>
    <row r="45" spans="1:26" s="18" customFormat="1" ht="14.25" customHeight="1" x14ac:dyDescent="0.35">
      <c r="A45" s="1"/>
      <c r="B45" s="97" t="s">
        <v>43</v>
      </c>
      <c r="C45" s="9"/>
      <c r="D45" s="9"/>
      <c r="E45" s="9"/>
      <c r="F45" s="10"/>
      <c r="G45" s="11"/>
      <c r="H45" s="11"/>
      <c r="I45" s="12">
        <f t="shared" si="10"/>
        <v>0</v>
      </c>
      <c r="J45" s="12">
        <f t="shared" si="11"/>
        <v>0</v>
      </c>
      <c r="K45" s="12">
        <f t="shared" si="12"/>
        <v>0</v>
      </c>
      <c r="L45" s="12">
        <f t="shared" si="13"/>
        <v>0</v>
      </c>
      <c r="M45" s="12">
        <f t="shared" si="14"/>
        <v>0</v>
      </c>
      <c r="N45" s="59"/>
      <c r="O45" s="59"/>
      <c r="P45" s="59"/>
      <c r="Q45" s="59"/>
      <c r="R45" s="59"/>
      <c r="S45" s="59"/>
      <c r="T45" s="59"/>
      <c r="U45" s="59"/>
      <c r="V45" s="59"/>
      <c r="W45" s="59"/>
      <c r="X45" s="59"/>
      <c r="Y45" s="98"/>
    </row>
    <row r="46" spans="1:26" s="18" customFormat="1" ht="14.25" customHeight="1" x14ac:dyDescent="0.35">
      <c r="A46" s="1"/>
      <c r="B46" s="97" t="s">
        <v>44</v>
      </c>
      <c r="C46" s="9"/>
      <c r="D46" s="9"/>
      <c r="E46" s="9"/>
      <c r="F46" s="10"/>
      <c r="G46" s="11"/>
      <c r="H46" s="11"/>
      <c r="I46" s="12">
        <f t="shared" si="5"/>
        <v>0</v>
      </c>
      <c r="J46" s="12">
        <f t="shared" si="6"/>
        <v>0</v>
      </c>
      <c r="K46" s="12">
        <f t="shared" si="7"/>
        <v>0</v>
      </c>
      <c r="L46" s="12">
        <f t="shared" si="8"/>
        <v>0</v>
      </c>
      <c r="M46" s="12">
        <f t="shared" si="9"/>
        <v>0</v>
      </c>
      <c r="N46" s="59"/>
      <c r="O46" s="59"/>
      <c r="P46" s="59"/>
      <c r="Q46" s="59"/>
      <c r="R46" s="59"/>
      <c r="S46" s="59"/>
      <c r="T46" s="59"/>
      <c r="U46" s="59"/>
      <c r="V46" s="59"/>
      <c r="W46" s="59"/>
      <c r="X46" s="59"/>
      <c r="Y46" s="98"/>
    </row>
    <row r="47" spans="1:26" s="18" customFormat="1" ht="14.25" customHeight="1" x14ac:dyDescent="0.35">
      <c r="A47" s="1"/>
      <c r="B47" s="97" t="s">
        <v>45</v>
      </c>
      <c r="C47" s="9"/>
      <c r="D47" s="9"/>
      <c r="E47" s="9"/>
      <c r="F47" s="10"/>
      <c r="G47" s="11"/>
      <c r="H47" s="11"/>
      <c r="I47" s="12">
        <f t="shared" si="5"/>
        <v>0</v>
      </c>
      <c r="J47" s="12">
        <f t="shared" si="6"/>
        <v>0</v>
      </c>
      <c r="K47" s="12">
        <f t="shared" si="7"/>
        <v>0</v>
      </c>
      <c r="L47" s="12">
        <f t="shared" si="8"/>
        <v>0</v>
      </c>
      <c r="M47" s="12">
        <f t="shared" si="9"/>
        <v>0</v>
      </c>
      <c r="N47" s="59"/>
      <c r="O47" s="59"/>
      <c r="P47" s="59"/>
      <c r="Q47" s="59"/>
      <c r="R47" s="59"/>
      <c r="S47" s="59"/>
      <c r="T47" s="59"/>
      <c r="U47" s="59"/>
      <c r="V47" s="59"/>
      <c r="W47" s="59"/>
      <c r="X47" s="59"/>
      <c r="Y47" s="98"/>
    </row>
    <row r="48" spans="1:26" s="18" customFormat="1" ht="14.25" customHeight="1" x14ac:dyDescent="0.35">
      <c r="A48" s="1"/>
      <c r="B48" s="97" t="s">
        <v>122</v>
      </c>
      <c r="C48" s="9"/>
      <c r="D48" s="9"/>
      <c r="E48" s="9"/>
      <c r="F48" s="10"/>
      <c r="G48" s="11"/>
      <c r="H48" s="11"/>
      <c r="I48" s="12">
        <f t="shared" si="5"/>
        <v>0</v>
      </c>
      <c r="J48" s="12">
        <f t="shared" si="6"/>
        <v>0</v>
      </c>
      <c r="K48" s="12">
        <f t="shared" si="7"/>
        <v>0</v>
      </c>
      <c r="L48" s="12">
        <f t="shared" si="8"/>
        <v>0</v>
      </c>
      <c r="M48" s="12">
        <f t="shared" si="9"/>
        <v>0</v>
      </c>
      <c r="N48" s="59"/>
      <c r="O48" s="59"/>
      <c r="P48" s="59"/>
      <c r="Q48" s="59"/>
      <c r="R48" s="59"/>
      <c r="S48" s="59"/>
      <c r="T48" s="59"/>
      <c r="U48" s="59"/>
      <c r="V48" s="59"/>
      <c r="W48" s="59"/>
      <c r="X48" s="59"/>
      <c r="Y48" s="98"/>
    </row>
    <row r="49" spans="1:25" s="18" customFormat="1" ht="14.25" customHeight="1" x14ac:dyDescent="0.35">
      <c r="A49" s="1"/>
      <c r="B49" s="97" t="s">
        <v>123</v>
      </c>
      <c r="C49" s="9"/>
      <c r="D49" s="9"/>
      <c r="E49" s="9"/>
      <c r="F49" s="10"/>
      <c r="G49" s="11"/>
      <c r="H49" s="11"/>
      <c r="I49" s="12">
        <f t="shared" si="5"/>
        <v>0</v>
      </c>
      <c r="J49" s="12">
        <f t="shared" si="6"/>
        <v>0</v>
      </c>
      <c r="K49" s="12">
        <f t="shared" si="7"/>
        <v>0</v>
      </c>
      <c r="L49" s="12">
        <f t="shared" si="8"/>
        <v>0</v>
      </c>
      <c r="M49" s="12">
        <f t="shared" si="9"/>
        <v>0</v>
      </c>
      <c r="N49" s="59"/>
      <c r="O49" s="59"/>
      <c r="P49" s="59"/>
      <c r="Q49" s="59"/>
      <c r="R49" s="59"/>
      <c r="S49" s="59"/>
      <c r="T49" s="59"/>
      <c r="U49" s="59"/>
      <c r="V49" s="59"/>
      <c r="W49" s="59"/>
      <c r="X49" s="59"/>
      <c r="Y49" s="98"/>
    </row>
    <row r="50" spans="1:25" s="18" customFormat="1" ht="15.5" x14ac:dyDescent="0.35">
      <c r="A50" s="1"/>
      <c r="B50" s="193" t="s">
        <v>46</v>
      </c>
      <c r="C50" s="137"/>
      <c r="D50" s="138"/>
      <c r="E50" s="6"/>
      <c r="F50" s="7"/>
      <c r="G50" s="8"/>
      <c r="H50" s="8">
        <f t="shared" ref="H50:Y50" si="15">SUM(H51:H62)</f>
        <v>1</v>
      </c>
      <c r="I50" s="8">
        <f t="shared" si="15"/>
        <v>6401</v>
      </c>
      <c r="J50" s="8">
        <f t="shared" si="15"/>
        <v>464.07249999999999</v>
      </c>
      <c r="K50" s="8">
        <f t="shared" si="15"/>
        <v>343.25362500000006</v>
      </c>
      <c r="L50" s="8">
        <f t="shared" si="15"/>
        <v>7208.3261250000005</v>
      </c>
      <c r="M50" s="8">
        <f t="shared" si="15"/>
        <v>7208.3261250000005</v>
      </c>
      <c r="N50" s="8">
        <f t="shared" si="15"/>
        <v>7208.3261250000005</v>
      </c>
      <c r="O50" s="8">
        <f t="shared" si="15"/>
        <v>0</v>
      </c>
      <c r="P50" s="8">
        <f t="shared" si="15"/>
        <v>0</v>
      </c>
      <c r="Q50" s="8">
        <f t="shared" si="15"/>
        <v>0</v>
      </c>
      <c r="R50" s="8">
        <f t="shared" si="15"/>
        <v>0</v>
      </c>
      <c r="S50" s="8">
        <f t="shared" si="15"/>
        <v>0</v>
      </c>
      <c r="T50" s="8">
        <f t="shared" si="15"/>
        <v>0</v>
      </c>
      <c r="U50" s="8">
        <f t="shared" si="15"/>
        <v>0</v>
      </c>
      <c r="V50" s="8">
        <f t="shared" si="15"/>
        <v>0</v>
      </c>
      <c r="W50" s="8">
        <f t="shared" si="15"/>
        <v>0</v>
      </c>
      <c r="X50" s="8">
        <f t="shared" si="15"/>
        <v>0</v>
      </c>
      <c r="Y50" s="96">
        <f t="shared" si="15"/>
        <v>0</v>
      </c>
    </row>
    <row r="51" spans="1:25" s="60" customFormat="1" ht="14.25" customHeight="1" x14ac:dyDescent="0.35">
      <c r="A51" s="1"/>
      <c r="B51" s="97" t="s">
        <v>47</v>
      </c>
      <c r="C51" s="9" t="s">
        <v>101</v>
      </c>
      <c r="D51" s="9" t="s">
        <v>102</v>
      </c>
      <c r="E51" s="9" t="s">
        <v>107</v>
      </c>
      <c r="F51" s="10">
        <v>4</v>
      </c>
      <c r="G51" s="11">
        <v>1600</v>
      </c>
      <c r="H51" s="11">
        <v>1</v>
      </c>
      <c r="I51" s="12">
        <f t="shared" ref="I51:I62" si="16">(F51*G51)+H51</f>
        <v>6401</v>
      </c>
      <c r="J51" s="12">
        <f t="shared" ref="J51:J62" si="17">I51*$D$20</f>
        <v>464.07249999999999</v>
      </c>
      <c r="K51" s="12">
        <f t="shared" ref="K51:K62" si="18">SUM(I51:J51)*5%</f>
        <v>343.25362500000006</v>
      </c>
      <c r="L51" s="12">
        <f t="shared" ref="L51:L62" si="19">SUM(I51:K51)</f>
        <v>7208.3261250000005</v>
      </c>
      <c r="M51" s="12">
        <f t="shared" ref="M51:M62" si="20">SUM(N51, O51,P51,Q51,R51,S51,T51,U51,V51,W51,X51,Y51)</f>
        <v>7208.3261250000005</v>
      </c>
      <c r="N51" s="59">
        <f>L51</f>
        <v>7208.3261250000005</v>
      </c>
      <c r="O51" s="59"/>
      <c r="P51" s="59"/>
      <c r="Q51" s="59"/>
      <c r="R51" s="59"/>
      <c r="S51" s="59"/>
      <c r="T51" s="59"/>
      <c r="U51" s="59"/>
      <c r="V51" s="59"/>
      <c r="W51" s="59"/>
      <c r="X51" s="59"/>
      <c r="Y51" s="98"/>
    </row>
    <row r="52" spans="1:25" s="60" customFormat="1" ht="14.25" customHeight="1" x14ac:dyDescent="0.35">
      <c r="A52" s="1"/>
      <c r="B52" s="97" t="s">
        <v>48</v>
      </c>
      <c r="C52" s="9"/>
      <c r="D52" s="9"/>
      <c r="E52" s="9"/>
      <c r="F52" s="10"/>
      <c r="G52" s="11"/>
      <c r="H52" s="11"/>
      <c r="I52" s="12">
        <f t="shared" si="16"/>
        <v>0</v>
      </c>
      <c r="J52" s="12">
        <f t="shared" si="17"/>
        <v>0</v>
      </c>
      <c r="K52" s="12">
        <f t="shared" si="18"/>
        <v>0</v>
      </c>
      <c r="L52" s="12">
        <f t="shared" si="19"/>
        <v>0</v>
      </c>
      <c r="M52" s="12">
        <f t="shared" si="20"/>
        <v>0</v>
      </c>
      <c r="N52" s="59"/>
      <c r="O52" s="59"/>
      <c r="P52" s="59"/>
      <c r="Q52" s="59"/>
      <c r="R52" s="59"/>
      <c r="S52" s="59"/>
      <c r="T52" s="59"/>
      <c r="U52" s="59"/>
      <c r="V52" s="59"/>
      <c r="W52" s="59"/>
      <c r="X52" s="59"/>
      <c r="Y52" s="98"/>
    </row>
    <row r="53" spans="1:25" s="60" customFormat="1" ht="14.25" customHeight="1" x14ac:dyDescent="0.35">
      <c r="A53" s="1"/>
      <c r="B53" s="97" t="s">
        <v>49</v>
      </c>
      <c r="C53" s="9"/>
      <c r="D53" s="9"/>
      <c r="E53" s="9"/>
      <c r="F53" s="10"/>
      <c r="G53" s="11"/>
      <c r="H53" s="11"/>
      <c r="I53" s="12">
        <f t="shared" si="16"/>
        <v>0</v>
      </c>
      <c r="J53" s="12">
        <f t="shared" si="17"/>
        <v>0</v>
      </c>
      <c r="K53" s="12">
        <f t="shared" si="18"/>
        <v>0</v>
      </c>
      <c r="L53" s="12">
        <f t="shared" si="19"/>
        <v>0</v>
      </c>
      <c r="M53" s="12">
        <f t="shared" si="20"/>
        <v>0</v>
      </c>
      <c r="N53" s="59"/>
      <c r="O53" s="59"/>
      <c r="P53" s="59"/>
      <c r="Q53" s="59"/>
      <c r="R53" s="59"/>
      <c r="S53" s="59"/>
      <c r="T53" s="59"/>
      <c r="U53" s="59"/>
      <c r="V53" s="59"/>
      <c r="W53" s="59"/>
      <c r="X53" s="59"/>
      <c r="Y53" s="98"/>
    </row>
    <row r="54" spans="1:25" s="60" customFormat="1" ht="14.25" customHeight="1" x14ac:dyDescent="0.35">
      <c r="A54" s="1"/>
      <c r="B54" s="97" t="s">
        <v>50</v>
      </c>
      <c r="C54" s="9"/>
      <c r="D54" s="9"/>
      <c r="E54" s="9"/>
      <c r="F54" s="10"/>
      <c r="G54" s="11"/>
      <c r="H54" s="11"/>
      <c r="I54" s="12">
        <f t="shared" si="16"/>
        <v>0</v>
      </c>
      <c r="J54" s="12">
        <f t="shared" si="17"/>
        <v>0</v>
      </c>
      <c r="K54" s="12">
        <f t="shared" si="18"/>
        <v>0</v>
      </c>
      <c r="L54" s="12">
        <f t="shared" si="19"/>
        <v>0</v>
      </c>
      <c r="M54" s="12">
        <f t="shared" si="20"/>
        <v>0</v>
      </c>
      <c r="N54" s="59"/>
      <c r="O54" s="59"/>
      <c r="P54" s="59"/>
      <c r="Q54" s="59"/>
      <c r="R54" s="59"/>
      <c r="S54" s="59"/>
      <c r="T54" s="59"/>
      <c r="U54" s="59"/>
      <c r="V54" s="59"/>
      <c r="W54" s="59"/>
      <c r="X54" s="59"/>
      <c r="Y54" s="98"/>
    </row>
    <row r="55" spans="1:25" s="60" customFormat="1" ht="14.25" customHeight="1" x14ac:dyDescent="0.35">
      <c r="A55" s="1"/>
      <c r="B55" s="97" t="s">
        <v>51</v>
      </c>
      <c r="C55" s="9"/>
      <c r="D55" s="9"/>
      <c r="E55" s="9"/>
      <c r="F55" s="10"/>
      <c r="G55" s="11"/>
      <c r="H55" s="11"/>
      <c r="I55" s="12">
        <f t="shared" si="16"/>
        <v>0</v>
      </c>
      <c r="J55" s="12">
        <f t="shared" si="17"/>
        <v>0</v>
      </c>
      <c r="K55" s="12">
        <f t="shared" si="18"/>
        <v>0</v>
      </c>
      <c r="L55" s="12">
        <f t="shared" si="19"/>
        <v>0</v>
      </c>
      <c r="M55" s="12">
        <f t="shared" si="20"/>
        <v>0</v>
      </c>
      <c r="N55" s="59"/>
      <c r="O55" s="59"/>
      <c r="P55" s="59"/>
      <c r="Q55" s="59"/>
      <c r="R55" s="59"/>
      <c r="S55" s="59"/>
      <c r="T55" s="59"/>
      <c r="U55" s="59"/>
      <c r="V55" s="59"/>
      <c r="W55" s="59"/>
      <c r="X55" s="59"/>
      <c r="Y55" s="98"/>
    </row>
    <row r="56" spans="1:25" s="60" customFormat="1" ht="14.25" customHeight="1" x14ac:dyDescent="0.35">
      <c r="A56" s="1"/>
      <c r="B56" s="97" t="s">
        <v>52</v>
      </c>
      <c r="C56" s="9"/>
      <c r="D56" s="9"/>
      <c r="E56" s="9"/>
      <c r="F56" s="10"/>
      <c r="G56" s="11"/>
      <c r="H56" s="11"/>
      <c r="I56" s="12">
        <f t="shared" si="16"/>
        <v>0</v>
      </c>
      <c r="J56" s="12">
        <f t="shared" si="17"/>
        <v>0</v>
      </c>
      <c r="K56" s="12">
        <f t="shared" si="18"/>
        <v>0</v>
      </c>
      <c r="L56" s="12">
        <f t="shared" si="19"/>
        <v>0</v>
      </c>
      <c r="M56" s="12">
        <f t="shared" si="20"/>
        <v>0</v>
      </c>
      <c r="N56" s="59"/>
      <c r="O56" s="59"/>
      <c r="P56" s="59"/>
      <c r="Q56" s="59"/>
      <c r="R56" s="59"/>
      <c r="S56" s="59"/>
      <c r="T56" s="59"/>
      <c r="U56" s="59"/>
      <c r="V56" s="59"/>
      <c r="W56" s="59"/>
      <c r="X56" s="59"/>
      <c r="Y56" s="98"/>
    </row>
    <row r="57" spans="1:25" s="60" customFormat="1" ht="14.25" customHeight="1" x14ac:dyDescent="0.35">
      <c r="A57" s="1"/>
      <c r="B57" s="97" t="s">
        <v>53</v>
      </c>
      <c r="C57" s="9"/>
      <c r="D57" s="9"/>
      <c r="E57" s="9"/>
      <c r="F57" s="10"/>
      <c r="G57" s="11"/>
      <c r="H57" s="11"/>
      <c r="I57" s="12">
        <f t="shared" si="16"/>
        <v>0</v>
      </c>
      <c r="J57" s="12">
        <f t="shared" si="17"/>
        <v>0</v>
      </c>
      <c r="K57" s="12">
        <f t="shared" si="18"/>
        <v>0</v>
      </c>
      <c r="L57" s="12">
        <f t="shared" si="19"/>
        <v>0</v>
      </c>
      <c r="M57" s="12">
        <f t="shared" si="20"/>
        <v>0</v>
      </c>
      <c r="N57" s="59"/>
      <c r="O57" s="59"/>
      <c r="P57" s="59"/>
      <c r="Q57" s="59"/>
      <c r="R57" s="59"/>
      <c r="S57" s="59"/>
      <c r="T57" s="59"/>
      <c r="U57" s="59"/>
      <c r="V57" s="59"/>
      <c r="W57" s="59"/>
      <c r="X57" s="59"/>
      <c r="Y57" s="98"/>
    </row>
    <row r="58" spans="1:25" s="60" customFormat="1" ht="14.25" customHeight="1" x14ac:dyDescent="0.35">
      <c r="A58" s="1"/>
      <c r="B58" s="97" t="s">
        <v>54</v>
      </c>
      <c r="C58" s="9"/>
      <c r="D58" s="9"/>
      <c r="E58" s="9"/>
      <c r="F58" s="10"/>
      <c r="G58" s="11"/>
      <c r="H58" s="11"/>
      <c r="I58" s="12">
        <f t="shared" ref="I58:I59" si="21">(F58*G58)+H58</f>
        <v>0</v>
      </c>
      <c r="J58" s="12">
        <f t="shared" ref="J58:J59" si="22">I58*$D$20</f>
        <v>0</v>
      </c>
      <c r="K58" s="12">
        <f t="shared" ref="K58:K59" si="23">SUM(I58:J58)*5%</f>
        <v>0</v>
      </c>
      <c r="L58" s="12">
        <f t="shared" ref="L58:L59" si="24">SUM(I58:K58)</f>
        <v>0</v>
      </c>
      <c r="M58" s="12">
        <f t="shared" ref="M58:M59" si="25">SUM(N58, O58,P58,Q58,R58,S58,T58,U58,V58,W58,X58,Y58)</f>
        <v>0</v>
      </c>
      <c r="N58" s="59"/>
      <c r="O58" s="59"/>
      <c r="P58" s="59"/>
      <c r="Q58" s="59"/>
      <c r="R58" s="59"/>
      <c r="S58" s="59"/>
      <c r="T58" s="59"/>
      <c r="U58" s="59"/>
      <c r="V58" s="59"/>
      <c r="W58" s="59"/>
      <c r="X58" s="59"/>
      <c r="Y58" s="98"/>
    </row>
    <row r="59" spans="1:25" s="60" customFormat="1" ht="14.25" customHeight="1" x14ac:dyDescent="0.35">
      <c r="A59" s="1"/>
      <c r="B59" s="97" t="s">
        <v>55</v>
      </c>
      <c r="C59" s="9"/>
      <c r="D59" s="9"/>
      <c r="E59" s="9"/>
      <c r="F59" s="10"/>
      <c r="G59" s="11"/>
      <c r="H59" s="11"/>
      <c r="I59" s="12">
        <f t="shared" si="21"/>
        <v>0</v>
      </c>
      <c r="J59" s="12">
        <f t="shared" si="22"/>
        <v>0</v>
      </c>
      <c r="K59" s="12">
        <f t="shared" si="23"/>
        <v>0</v>
      </c>
      <c r="L59" s="12">
        <f t="shared" si="24"/>
        <v>0</v>
      </c>
      <c r="M59" s="12">
        <f t="shared" si="25"/>
        <v>0</v>
      </c>
      <c r="N59" s="59"/>
      <c r="O59" s="59"/>
      <c r="P59" s="59"/>
      <c r="Q59" s="59"/>
      <c r="R59" s="59"/>
      <c r="S59" s="59"/>
      <c r="T59" s="59"/>
      <c r="U59" s="59"/>
      <c r="V59" s="59"/>
      <c r="W59" s="59"/>
      <c r="X59" s="59"/>
      <c r="Y59" s="98"/>
    </row>
    <row r="60" spans="1:25" s="60" customFormat="1" ht="14.25" customHeight="1" x14ac:dyDescent="0.35">
      <c r="A60" s="1"/>
      <c r="B60" s="97" t="s">
        <v>56</v>
      </c>
      <c r="C60" s="9"/>
      <c r="D60" s="9"/>
      <c r="E60" s="9"/>
      <c r="F60" s="10"/>
      <c r="G60" s="11"/>
      <c r="H60" s="11"/>
      <c r="I60" s="12">
        <f t="shared" si="16"/>
        <v>0</v>
      </c>
      <c r="J60" s="12">
        <f t="shared" si="17"/>
        <v>0</v>
      </c>
      <c r="K60" s="12">
        <f t="shared" si="18"/>
        <v>0</v>
      </c>
      <c r="L60" s="12">
        <f t="shared" si="19"/>
        <v>0</v>
      </c>
      <c r="M60" s="12">
        <f t="shared" si="20"/>
        <v>0</v>
      </c>
      <c r="N60" s="59"/>
      <c r="O60" s="59"/>
      <c r="P60" s="59"/>
      <c r="Q60" s="59"/>
      <c r="R60" s="59"/>
      <c r="S60" s="59"/>
      <c r="T60" s="59"/>
      <c r="U60" s="59"/>
      <c r="V60" s="59"/>
      <c r="W60" s="59"/>
      <c r="X60" s="59"/>
      <c r="Y60" s="98"/>
    </row>
    <row r="61" spans="1:25" s="60" customFormat="1" ht="14.25" customHeight="1" x14ac:dyDescent="0.35">
      <c r="A61" s="1"/>
      <c r="B61" s="97" t="s">
        <v>124</v>
      </c>
      <c r="C61" s="9"/>
      <c r="D61" s="9"/>
      <c r="E61" s="9"/>
      <c r="F61" s="10"/>
      <c r="G61" s="11"/>
      <c r="H61" s="11"/>
      <c r="I61" s="12">
        <f t="shared" si="16"/>
        <v>0</v>
      </c>
      <c r="J61" s="12">
        <f t="shared" si="17"/>
        <v>0</v>
      </c>
      <c r="K61" s="12">
        <f t="shared" si="18"/>
        <v>0</v>
      </c>
      <c r="L61" s="12">
        <f t="shared" si="19"/>
        <v>0</v>
      </c>
      <c r="M61" s="12">
        <f t="shared" si="20"/>
        <v>0</v>
      </c>
      <c r="N61" s="59"/>
      <c r="O61" s="59"/>
      <c r="P61" s="59"/>
      <c r="Q61" s="59"/>
      <c r="R61" s="59"/>
      <c r="S61" s="59"/>
      <c r="T61" s="59"/>
      <c r="U61" s="59"/>
      <c r="V61" s="59"/>
      <c r="W61" s="59"/>
      <c r="X61" s="59"/>
      <c r="Y61" s="98"/>
    </row>
    <row r="62" spans="1:25" s="60" customFormat="1" ht="14.25" customHeight="1" x14ac:dyDescent="0.35">
      <c r="A62" s="1"/>
      <c r="B62" s="97" t="s">
        <v>125</v>
      </c>
      <c r="C62" s="9"/>
      <c r="D62" s="9"/>
      <c r="E62" s="9"/>
      <c r="F62" s="10"/>
      <c r="G62" s="11"/>
      <c r="H62" s="11"/>
      <c r="I62" s="12">
        <f t="shared" si="16"/>
        <v>0</v>
      </c>
      <c r="J62" s="12">
        <f t="shared" si="17"/>
        <v>0</v>
      </c>
      <c r="K62" s="12">
        <f t="shared" si="18"/>
        <v>0</v>
      </c>
      <c r="L62" s="12">
        <f t="shared" si="19"/>
        <v>0</v>
      </c>
      <c r="M62" s="12">
        <f t="shared" si="20"/>
        <v>0</v>
      </c>
      <c r="N62" s="59"/>
      <c r="O62" s="59"/>
      <c r="P62" s="59"/>
      <c r="Q62" s="59"/>
      <c r="R62" s="59"/>
      <c r="S62" s="59"/>
      <c r="T62" s="59"/>
      <c r="U62" s="59"/>
      <c r="V62" s="59"/>
      <c r="W62" s="59"/>
      <c r="X62" s="59"/>
      <c r="Y62" s="98"/>
    </row>
    <row r="63" spans="1:25" s="18" customFormat="1" ht="15.5" x14ac:dyDescent="0.35">
      <c r="A63" s="1"/>
      <c r="B63" s="193" t="s">
        <v>57</v>
      </c>
      <c r="C63" s="137"/>
      <c r="D63" s="138"/>
      <c r="E63" s="6"/>
      <c r="F63" s="7"/>
      <c r="G63" s="8"/>
      <c r="H63" s="8">
        <f t="shared" ref="H63:Y63" si="26">SUM(H64:H75)</f>
        <v>1</v>
      </c>
      <c r="I63" s="8">
        <f t="shared" si="26"/>
        <v>601</v>
      </c>
      <c r="J63" s="8">
        <f t="shared" si="26"/>
        <v>43.572499999999998</v>
      </c>
      <c r="K63" s="8">
        <f t="shared" si="26"/>
        <v>32.228625000000001</v>
      </c>
      <c r="L63" s="8">
        <f t="shared" si="26"/>
        <v>676.80112499999996</v>
      </c>
      <c r="M63" s="8">
        <f t="shared" si="26"/>
        <v>676.80112499999996</v>
      </c>
      <c r="N63" s="8">
        <f t="shared" si="26"/>
        <v>676.80112499999996</v>
      </c>
      <c r="O63" s="8">
        <f t="shared" si="26"/>
        <v>0</v>
      </c>
      <c r="P63" s="8">
        <f t="shared" si="26"/>
        <v>0</v>
      </c>
      <c r="Q63" s="8">
        <f t="shared" si="26"/>
        <v>0</v>
      </c>
      <c r="R63" s="8">
        <f t="shared" si="26"/>
        <v>0</v>
      </c>
      <c r="S63" s="8">
        <f t="shared" si="26"/>
        <v>0</v>
      </c>
      <c r="T63" s="8">
        <f t="shared" si="26"/>
        <v>0</v>
      </c>
      <c r="U63" s="8">
        <f t="shared" si="26"/>
        <v>0</v>
      </c>
      <c r="V63" s="8">
        <f t="shared" si="26"/>
        <v>0</v>
      </c>
      <c r="W63" s="8">
        <f t="shared" si="26"/>
        <v>0</v>
      </c>
      <c r="X63" s="8">
        <f t="shared" si="26"/>
        <v>0</v>
      </c>
      <c r="Y63" s="96">
        <f t="shared" si="26"/>
        <v>0</v>
      </c>
    </row>
    <row r="64" spans="1:25" s="60" customFormat="1" ht="14.25" customHeight="1" x14ac:dyDescent="0.35">
      <c r="A64" s="1"/>
      <c r="B64" s="97" t="s">
        <v>58</v>
      </c>
      <c r="C64" s="9" t="s">
        <v>101</v>
      </c>
      <c r="D64" s="9" t="s">
        <v>102</v>
      </c>
      <c r="E64" s="9" t="s">
        <v>110</v>
      </c>
      <c r="F64" s="10">
        <v>2</v>
      </c>
      <c r="G64" s="11">
        <v>300</v>
      </c>
      <c r="H64" s="11">
        <v>1</v>
      </c>
      <c r="I64" s="12">
        <f t="shared" ref="I64:I75" si="27">(F64*G64)+H64</f>
        <v>601</v>
      </c>
      <c r="J64" s="12">
        <f t="shared" ref="J64:J75" si="28">I64*$D$20</f>
        <v>43.572499999999998</v>
      </c>
      <c r="K64" s="12">
        <f t="shared" ref="K64:K75" si="29">SUM(I64:J64)*5%</f>
        <v>32.228625000000001</v>
      </c>
      <c r="L64" s="12">
        <f t="shared" ref="L64:L75" si="30">SUM(I64:K64)</f>
        <v>676.80112499999996</v>
      </c>
      <c r="M64" s="12">
        <f t="shared" ref="M64:M75" si="31">SUM(N64, O64,P64,Q64,R64,S64,T64,U64,V64,W64,X64,Y64)</f>
        <v>676.80112499999996</v>
      </c>
      <c r="N64" s="59">
        <f>L64</f>
        <v>676.80112499999996</v>
      </c>
      <c r="O64" s="59"/>
      <c r="P64" s="59"/>
      <c r="Q64" s="59"/>
      <c r="R64" s="59"/>
      <c r="S64" s="59"/>
      <c r="T64" s="59"/>
      <c r="U64" s="59"/>
      <c r="V64" s="59"/>
      <c r="W64" s="59"/>
      <c r="X64" s="59"/>
      <c r="Y64" s="98"/>
    </row>
    <row r="65" spans="1:25" s="60" customFormat="1" ht="14.25" customHeight="1" x14ac:dyDescent="0.35">
      <c r="A65" s="1"/>
      <c r="B65" s="97" t="s">
        <v>59</v>
      </c>
      <c r="C65" s="9"/>
      <c r="D65" s="9"/>
      <c r="E65" s="9"/>
      <c r="F65" s="10"/>
      <c r="G65" s="11"/>
      <c r="H65" s="11"/>
      <c r="I65" s="12">
        <f t="shared" si="27"/>
        <v>0</v>
      </c>
      <c r="J65" s="12">
        <f t="shared" si="28"/>
        <v>0</v>
      </c>
      <c r="K65" s="12">
        <f t="shared" si="29"/>
        <v>0</v>
      </c>
      <c r="L65" s="12">
        <f t="shared" si="30"/>
        <v>0</v>
      </c>
      <c r="M65" s="12">
        <f t="shared" si="31"/>
        <v>0</v>
      </c>
      <c r="N65" s="59"/>
      <c r="O65" s="59"/>
      <c r="P65" s="59"/>
      <c r="Q65" s="59"/>
      <c r="R65" s="59"/>
      <c r="S65" s="59"/>
      <c r="T65" s="59"/>
      <c r="U65" s="59"/>
      <c r="V65" s="59"/>
      <c r="W65" s="59"/>
      <c r="X65" s="59"/>
      <c r="Y65" s="98"/>
    </row>
    <row r="66" spans="1:25" s="60" customFormat="1" ht="14.25" customHeight="1" x14ac:dyDescent="0.35">
      <c r="A66" s="1"/>
      <c r="B66" s="97" t="s">
        <v>60</v>
      </c>
      <c r="C66" s="9"/>
      <c r="D66" s="9"/>
      <c r="E66" s="9"/>
      <c r="F66" s="10"/>
      <c r="G66" s="11"/>
      <c r="H66" s="11"/>
      <c r="I66" s="12">
        <f t="shared" si="27"/>
        <v>0</v>
      </c>
      <c r="J66" s="12">
        <f t="shared" si="28"/>
        <v>0</v>
      </c>
      <c r="K66" s="12">
        <f t="shared" si="29"/>
        <v>0</v>
      </c>
      <c r="L66" s="12">
        <f t="shared" si="30"/>
        <v>0</v>
      </c>
      <c r="M66" s="12">
        <f t="shared" si="31"/>
        <v>0</v>
      </c>
      <c r="N66" s="59"/>
      <c r="O66" s="59"/>
      <c r="P66" s="59"/>
      <c r="Q66" s="59"/>
      <c r="R66" s="59"/>
      <c r="S66" s="59"/>
      <c r="T66" s="59"/>
      <c r="U66" s="59"/>
      <c r="V66" s="59"/>
      <c r="W66" s="59"/>
      <c r="X66" s="59"/>
      <c r="Y66" s="98"/>
    </row>
    <row r="67" spans="1:25" s="60" customFormat="1" ht="14.25" customHeight="1" x14ac:dyDescent="0.35">
      <c r="A67" s="1"/>
      <c r="B67" s="97" t="s">
        <v>61</v>
      </c>
      <c r="C67" s="9"/>
      <c r="D67" s="9"/>
      <c r="E67" s="9"/>
      <c r="F67" s="10"/>
      <c r="G67" s="11"/>
      <c r="H67" s="11"/>
      <c r="I67" s="12">
        <f t="shared" si="27"/>
        <v>0</v>
      </c>
      <c r="J67" s="12">
        <f t="shared" si="28"/>
        <v>0</v>
      </c>
      <c r="K67" s="12">
        <f t="shared" si="29"/>
        <v>0</v>
      </c>
      <c r="L67" s="12">
        <f t="shared" si="30"/>
        <v>0</v>
      </c>
      <c r="M67" s="12">
        <f t="shared" si="31"/>
        <v>0</v>
      </c>
      <c r="N67" s="59"/>
      <c r="O67" s="59"/>
      <c r="P67" s="59"/>
      <c r="Q67" s="59"/>
      <c r="R67" s="59"/>
      <c r="S67" s="59"/>
      <c r="T67" s="59"/>
      <c r="U67" s="59"/>
      <c r="V67" s="59"/>
      <c r="W67" s="59"/>
      <c r="X67" s="59"/>
      <c r="Y67" s="98"/>
    </row>
    <row r="68" spans="1:25" s="61" customFormat="1" ht="14.25" customHeight="1" x14ac:dyDescent="0.35">
      <c r="A68" s="1"/>
      <c r="B68" s="97" t="s">
        <v>62</v>
      </c>
      <c r="C68" s="9"/>
      <c r="D68" s="9"/>
      <c r="E68" s="9"/>
      <c r="F68" s="10"/>
      <c r="G68" s="11"/>
      <c r="H68" s="11"/>
      <c r="I68" s="12">
        <f t="shared" si="27"/>
        <v>0</v>
      </c>
      <c r="J68" s="12">
        <f t="shared" si="28"/>
        <v>0</v>
      </c>
      <c r="K68" s="12">
        <f t="shared" si="29"/>
        <v>0</v>
      </c>
      <c r="L68" s="12">
        <f t="shared" si="30"/>
        <v>0</v>
      </c>
      <c r="M68" s="12">
        <f t="shared" si="31"/>
        <v>0</v>
      </c>
      <c r="N68" s="59"/>
      <c r="O68" s="59"/>
      <c r="P68" s="59"/>
      <c r="Q68" s="59"/>
      <c r="R68" s="59"/>
      <c r="S68" s="59"/>
      <c r="T68" s="59"/>
      <c r="U68" s="59"/>
      <c r="V68" s="59"/>
      <c r="W68" s="59"/>
      <c r="X68" s="59"/>
      <c r="Y68" s="98"/>
    </row>
    <row r="69" spans="1:25" s="60" customFormat="1" ht="14.25" customHeight="1" x14ac:dyDescent="0.35">
      <c r="A69" s="1"/>
      <c r="B69" s="97" t="s">
        <v>63</v>
      </c>
      <c r="C69" s="9"/>
      <c r="D69" s="9"/>
      <c r="E69" s="9"/>
      <c r="F69" s="10"/>
      <c r="G69" s="11"/>
      <c r="H69" s="11"/>
      <c r="I69" s="12">
        <f t="shared" si="27"/>
        <v>0</v>
      </c>
      <c r="J69" s="12">
        <f t="shared" si="28"/>
        <v>0</v>
      </c>
      <c r="K69" s="12">
        <f t="shared" si="29"/>
        <v>0</v>
      </c>
      <c r="L69" s="12">
        <f t="shared" si="30"/>
        <v>0</v>
      </c>
      <c r="M69" s="12">
        <f t="shared" si="31"/>
        <v>0</v>
      </c>
      <c r="N69" s="59"/>
      <c r="O69" s="59"/>
      <c r="P69" s="59"/>
      <c r="Q69" s="59"/>
      <c r="R69" s="59"/>
      <c r="S69" s="59"/>
      <c r="T69" s="59"/>
      <c r="U69" s="59"/>
      <c r="V69" s="59"/>
      <c r="W69" s="59"/>
      <c r="X69" s="59"/>
      <c r="Y69" s="98"/>
    </row>
    <row r="70" spans="1:25" s="60" customFormat="1" ht="14.25" customHeight="1" x14ac:dyDescent="0.35">
      <c r="A70" s="1"/>
      <c r="B70" s="97" t="s">
        <v>64</v>
      </c>
      <c r="C70" s="9"/>
      <c r="D70" s="9"/>
      <c r="E70" s="9"/>
      <c r="F70" s="10"/>
      <c r="G70" s="11"/>
      <c r="H70" s="11"/>
      <c r="I70" s="12">
        <f t="shared" si="27"/>
        <v>0</v>
      </c>
      <c r="J70" s="12">
        <f t="shared" si="28"/>
        <v>0</v>
      </c>
      <c r="K70" s="12">
        <f t="shared" si="29"/>
        <v>0</v>
      </c>
      <c r="L70" s="12">
        <f t="shared" si="30"/>
        <v>0</v>
      </c>
      <c r="M70" s="12">
        <f t="shared" si="31"/>
        <v>0</v>
      </c>
      <c r="N70" s="59"/>
      <c r="O70" s="59"/>
      <c r="P70" s="59"/>
      <c r="Q70" s="59"/>
      <c r="R70" s="59"/>
      <c r="S70" s="59"/>
      <c r="T70" s="59"/>
      <c r="U70" s="59"/>
      <c r="V70" s="59"/>
      <c r="W70" s="59"/>
      <c r="X70" s="59"/>
      <c r="Y70" s="98"/>
    </row>
    <row r="71" spans="1:25" s="60" customFormat="1" ht="14.25" customHeight="1" x14ac:dyDescent="0.35">
      <c r="A71" s="1"/>
      <c r="B71" s="97" t="s">
        <v>65</v>
      </c>
      <c r="C71" s="9"/>
      <c r="D71" s="9"/>
      <c r="E71" s="9"/>
      <c r="F71" s="10"/>
      <c r="G71" s="11"/>
      <c r="H71" s="11"/>
      <c r="I71" s="12">
        <f t="shared" ref="I71:I72" si="32">(F71*G71)+H71</f>
        <v>0</v>
      </c>
      <c r="J71" s="12">
        <f t="shared" ref="J71:J72" si="33">I71*$D$20</f>
        <v>0</v>
      </c>
      <c r="K71" s="12">
        <f t="shared" ref="K71:K72" si="34">SUM(I71:J71)*5%</f>
        <v>0</v>
      </c>
      <c r="L71" s="12">
        <f t="shared" ref="L71:L72" si="35">SUM(I71:K71)</f>
        <v>0</v>
      </c>
      <c r="M71" s="12">
        <f t="shared" ref="M71:M72" si="36">SUM(N71, O71,P71,Q71,R71,S71,T71,U71,V71,W71,X71,Y71)</f>
        <v>0</v>
      </c>
      <c r="N71" s="59"/>
      <c r="O71" s="59"/>
      <c r="P71" s="59"/>
      <c r="Q71" s="59"/>
      <c r="R71" s="59"/>
      <c r="S71" s="59"/>
      <c r="T71" s="59"/>
      <c r="U71" s="59"/>
      <c r="V71" s="59"/>
      <c r="W71" s="59"/>
      <c r="X71" s="59"/>
      <c r="Y71" s="98"/>
    </row>
    <row r="72" spans="1:25" s="60" customFormat="1" ht="14.25" customHeight="1" x14ac:dyDescent="0.35">
      <c r="A72" s="1"/>
      <c r="B72" s="97" t="s">
        <v>66</v>
      </c>
      <c r="C72" s="9"/>
      <c r="D72" s="9"/>
      <c r="E72" s="9"/>
      <c r="F72" s="10"/>
      <c r="G72" s="11"/>
      <c r="H72" s="11"/>
      <c r="I72" s="12">
        <f t="shared" si="32"/>
        <v>0</v>
      </c>
      <c r="J72" s="12">
        <f t="shared" si="33"/>
        <v>0</v>
      </c>
      <c r="K72" s="12">
        <f t="shared" si="34"/>
        <v>0</v>
      </c>
      <c r="L72" s="12">
        <f t="shared" si="35"/>
        <v>0</v>
      </c>
      <c r="M72" s="12">
        <f t="shared" si="36"/>
        <v>0</v>
      </c>
      <c r="N72" s="59"/>
      <c r="O72" s="59"/>
      <c r="P72" s="59"/>
      <c r="Q72" s="59"/>
      <c r="R72" s="59"/>
      <c r="S72" s="59"/>
      <c r="T72" s="59"/>
      <c r="U72" s="59"/>
      <c r="V72" s="59"/>
      <c r="W72" s="59"/>
      <c r="X72" s="59"/>
      <c r="Y72" s="98"/>
    </row>
    <row r="73" spans="1:25" s="60" customFormat="1" ht="14.25" customHeight="1" x14ac:dyDescent="0.35">
      <c r="A73" s="1"/>
      <c r="B73" s="97" t="s">
        <v>67</v>
      </c>
      <c r="C73" s="9"/>
      <c r="D73" s="9"/>
      <c r="E73" s="9"/>
      <c r="F73" s="10"/>
      <c r="G73" s="11"/>
      <c r="H73" s="11"/>
      <c r="I73" s="12">
        <f t="shared" si="27"/>
        <v>0</v>
      </c>
      <c r="J73" s="12">
        <f t="shared" si="28"/>
        <v>0</v>
      </c>
      <c r="K73" s="12">
        <f t="shared" si="29"/>
        <v>0</v>
      </c>
      <c r="L73" s="12">
        <f t="shared" si="30"/>
        <v>0</v>
      </c>
      <c r="M73" s="12">
        <f t="shared" si="31"/>
        <v>0</v>
      </c>
      <c r="N73" s="59"/>
      <c r="O73" s="59"/>
      <c r="P73" s="59"/>
      <c r="Q73" s="59"/>
      <c r="R73" s="59"/>
      <c r="S73" s="59"/>
      <c r="T73" s="59"/>
      <c r="U73" s="59"/>
      <c r="V73" s="59"/>
      <c r="W73" s="59"/>
      <c r="X73" s="59"/>
      <c r="Y73" s="98"/>
    </row>
    <row r="74" spans="1:25" s="60" customFormat="1" ht="14.25" customHeight="1" x14ac:dyDescent="0.35">
      <c r="A74" s="1"/>
      <c r="B74" s="97" t="s">
        <v>126</v>
      </c>
      <c r="C74" s="9"/>
      <c r="D74" s="9"/>
      <c r="E74" s="9"/>
      <c r="F74" s="10"/>
      <c r="G74" s="11"/>
      <c r="H74" s="11"/>
      <c r="I74" s="12">
        <f t="shared" si="27"/>
        <v>0</v>
      </c>
      <c r="J74" s="12">
        <f t="shared" si="28"/>
        <v>0</v>
      </c>
      <c r="K74" s="12">
        <f t="shared" si="29"/>
        <v>0</v>
      </c>
      <c r="L74" s="12">
        <f t="shared" si="30"/>
        <v>0</v>
      </c>
      <c r="M74" s="12">
        <f t="shared" si="31"/>
        <v>0</v>
      </c>
      <c r="N74" s="59"/>
      <c r="O74" s="59"/>
      <c r="P74" s="59"/>
      <c r="Q74" s="59"/>
      <c r="R74" s="59"/>
      <c r="S74" s="59"/>
      <c r="T74" s="59"/>
      <c r="U74" s="59"/>
      <c r="V74" s="59"/>
      <c r="W74" s="59"/>
      <c r="X74" s="59"/>
      <c r="Y74" s="98"/>
    </row>
    <row r="75" spans="1:25" s="60" customFormat="1" ht="14.25" customHeight="1" x14ac:dyDescent="0.35">
      <c r="A75" s="1"/>
      <c r="B75" s="97" t="s">
        <v>127</v>
      </c>
      <c r="C75" s="9"/>
      <c r="D75" s="9"/>
      <c r="E75" s="9"/>
      <c r="F75" s="10"/>
      <c r="G75" s="11"/>
      <c r="H75" s="11"/>
      <c r="I75" s="12">
        <f t="shared" si="27"/>
        <v>0</v>
      </c>
      <c r="J75" s="12">
        <f t="shared" si="28"/>
        <v>0</v>
      </c>
      <c r="K75" s="12">
        <f t="shared" si="29"/>
        <v>0</v>
      </c>
      <c r="L75" s="12">
        <f t="shared" si="30"/>
        <v>0</v>
      </c>
      <c r="M75" s="12">
        <f t="shared" si="31"/>
        <v>0</v>
      </c>
      <c r="N75" s="59"/>
      <c r="O75" s="59"/>
      <c r="P75" s="59"/>
      <c r="Q75" s="59"/>
      <c r="R75" s="59"/>
      <c r="S75" s="59"/>
      <c r="T75" s="59"/>
      <c r="U75" s="59"/>
      <c r="V75" s="59"/>
      <c r="W75" s="59"/>
      <c r="X75" s="59"/>
      <c r="Y75" s="98"/>
    </row>
    <row r="76" spans="1:25" s="18" customFormat="1" ht="15.5" x14ac:dyDescent="0.35">
      <c r="A76" s="1"/>
      <c r="B76" s="193" t="s">
        <v>68</v>
      </c>
      <c r="C76" s="137"/>
      <c r="D76" s="138"/>
      <c r="E76" s="6"/>
      <c r="F76" s="7"/>
      <c r="G76" s="8"/>
      <c r="H76" s="8">
        <f t="shared" ref="H76:Y76" si="37">SUM(H77:H88)</f>
        <v>1</v>
      </c>
      <c r="I76" s="8">
        <f t="shared" si="37"/>
        <v>6001</v>
      </c>
      <c r="J76" s="8">
        <f t="shared" si="37"/>
        <v>435.07249999999999</v>
      </c>
      <c r="K76" s="8">
        <f t="shared" si="37"/>
        <v>321.80362500000001</v>
      </c>
      <c r="L76" s="8">
        <f t="shared" si="37"/>
        <v>6757.8761250000007</v>
      </c>
      <c r="M76" s="8">
        <f t="shared" si="37"/>
        <v>6757.8761250000007</v>
      </c>
      <c r="N76" s="8">
        <f t="shared" si="37"/>
        <v>6757.8761250000007</v>
      </c>
      <c r="O76" s="8">
        <f t="shared" si="37"/>
        <v>0</v>
      </c>
      <c r="P76" s="8">
        <f t="shared" si="37"/>
        <v>0</v>
      </c>
      <c r="Q76" s="8">
        <f t="shared" si="37"/>
        <v>0</v>
      </c>
      <c r="R76" s="8">
        <f t="shared" si="37"/>
        <v>0</v>
      </c>
      <c r="S76" s="8">
        <f t="shared" si="37"/>
        <v>0</v>
      </c>
      <c r="T76" s="8">
        <f t="shared" si="37"/>
        <v>0</v>
      </c>
      <c r="U76" s="8">
        <f t="shared" si="37"/>
        <v>0</v>
      </c>
      <c r="V76" s="8">
        <f t="shared" si="37"/>
        <v>0</v>
      </c>
      <c r="W76" s="8">
        <f t="shared" si="37"/>
        <v>0</v>
      </c>
      <c r="X76" s="8">
        <f t="shared" si="37"/>
        <v>0</v>
      </c>
      <c r="Y76" s="96">
        <f t="shared" si="37"/>
        <v>0</v>
      </c>
    </row>
    <row r="77" spans="1:25" s="60" customFormat="1" ht="14.25" customHeight="1" x14ac:dyDescent="0.35">
      <c r="A77" s="1"/>
      <c r="B77" s="97" t="s">
        <v>69</v>
      </c>
      <c r="C77" s="9" t="s">
        <v>101</v>
      </c>
      <c r="D77" s="9" t="s">
        <v>102</v>
      </c>
      <c r="E77" s="9" t="s">
        <v>111</v>
      </c>
      <c r="F77" s="10">
        <v>2</v>
      </c>
      <c r="G77" s="11">
        <v>3000</v>
      </c>
      <c r="H77" s="11">
        <v>1</v>
      </c>
      <c r="I77" s="12">
        <f t="shared" ref="I77:I88" si="38">(F77*G77)+H77</f>
        <v>6001</v>
      </c>
      <c r="J77" s="12">
        <f t="shared" ref="J77:J88" si="39">I77*$D$20</f>
        <v>435.07249999999999</v>
      </c>
      <c r="K77" s="12">
        <f t="shared" ref="K77:K88" si="40">SUM(I77:J77)*5%</f>
        <v>321.80362500000001</v>
      </c>
      <c r="L77" s="12">
        <f t="shared" ref="L77:L88" si="41">SUM(I77:K77)</f>
        <v>6757.8761250000007</v>
      </c>
      <c r="M77" s="12">
        <f t="shared" ref="M77:M88" si="42">SUM(N77, O77,P77,Q77,R77,S77,T77,U77,V77,W77,X77,Y77)</f>
        <v>6757.8761250000007</v>
      </c>
      <c r="N77" s="59">
        <f>L77</f>
        <v>6757.8761250000007</v>
      </c>
      <c r="O77" s="59"/>
      <c r="P77" s="59"/>
      <c r="Q77" s="59"/>
      <c r="R77" s="59"/>
      <c r="S77" s="59"/>
      <c r="T77" s="59"/>
      <c r="U77" s="59"/>
      <c r="V77" s="59"/>
      <c r="W77" s="59"/>
      <c r="X77" s="59"/>
      <c r="Y77" s="98"/>
    </row>
    <row r="78" spans="1:25" s="60" customFormat="1" ht="14.25" customHeight="1" x14ac:dyDescent="0.35">
      <c r="A78" s="1"/>
      <c r="B78" s="97" t="s">
        <v>70</v>
      </c>
      <c r="C78" s="9"/>
      <c r="D78" s="9"/>
      <c r="E78" s="9"/>
      <c r="F78" s="10"/>
      <c r="G78" s="11"/>
      <c r="H78" s="11"/>
      <c r="I78" s="12">
        <f t="shared" si="38"/>
        <v>0</v>
      </c>
      <c r="J78" s="12">
        <f t="shared" si="39"/>
        <v>0</v>
      </c>
      <c r="K78" s="12">
        <f t="shared" si="40"/>
        <v>0</v>
      </c>
      <c r="L78" s="12">
        <f t="shared" si="41"/>
        <v>0</v>
      </c>
      <c r="M78" s="12">
        <f t="shared" si="42"/>
        <v>0</v>
      </c>
      <c r="N78" s="59"/>
      <c r="O78" s="59"/>
      <c r="P78" s="59"/>
      <c r="Q78" s="59"/>
      <c r="R78" s="59"/>
      <c r="S78" s="59"/>
      <c r="T78" s="59"/>
      <c r="U78" s="59"/>
      <c r="V78" s="59"/>
      <c r="W78" s="59"/>
      <c r="X78" s="59"/>
      <c r="Y78" s="98"/>
    </row>
    <row r="79" spans="1:25" s="60" customFormat="1" ht="14.25" customHeight="1" x14ac:dyDescent="0.35">
      <c r="A79" s="1"/>
      <c r="B79" s="97" t="s">
        <v>71</v>
      </c>
      <c r="C79" s="9"/>
      <c r="D79" s="9"/>
      <c r="E79" s="9"/>
      <c r="F79" s="10"/>
      <c r="G79" s="11"/>
      <c r="H79" s="11"/>
      <c r="I79" s="12">
        <f t="shared" si="38"/>
        <v>0</v>
      </c>
      <c r="J79" s="12">
        <f t="shared" si="39"/>
        <v>0</v>
      </c>
      <c r="K79" s="12">
        <f t="shared" si="40"/>
        <v>0</v>
      </c>
      <c r="L79" s="12">
        <f t="shared" si="41"/>
        <v>0</v>
      </c>
      <c r="M79" s="12">
        <f t="shared" si="42"/>
        <v>0</v>
      </c>
      <c r="N79" s="59"/>
      <c r="O79" s="59"/>
      <c r="P79" s="59"/>
      <c r="Q79" s="59"/>
      <c r="R79" s="59"/>
      <c r="S79" s="59"/>
      <c r="T79" s="59"/>
      <c r="U79" s="59"/>
      <c r="V79" s="59"/>
      <c r="W79" s="59"/>
      <c r="X79" s="59"/>
      <c r="Y79" s="98"/>
    </row>
    <row r="80" spans="1:25" s="60" customFormat="1" ht="14.25" customHeight="1" x14ac:dyDescent="0.35">
      <c r="A80" s="1"/>
      <c r="B80" s="97" t="s">
        <v>72</v>
      </c>
      <c r="C80" s="9"/>
      <c r="D80" s="9"/>
      <c r="E80" s="9"/>
      <c r="F80" s="10"/>
      <c r="G80" s="11"/>
      <c r="H80" s="11"/>
      <c r="I80" s="12">
        <f t="shared" si="38"/>
        <v>0</v>
      </c>
      <c r="J80" s="12">
        <f t="shared" si="39"/>
        <v>0</v>
      </c>
      <c r="K80" s="12">
        <f t="shared" si="40"/>
        <v>0</v>
      </c>
      <c r="L80" s="12">
        <f t="shared" si="41"/>
        <v>0</v>
      </c>
      <c r="M80" s="12">
        <f t="shared" si="42"/>
        <v>0</v>
      </c>
      <c r="N80" s="59"/>
      <c r="O80" s="59"/>
      <c r="P80" s="59"/>
      <c r="Q80" s="59"/>
      <c r="R80" s="59"/>
      <c r="S80" s="59"/>
      <c r="T80" s="59"/>
      <c r="U80" s="59"/>
      <c r="V80" s="59"/>
      <c r="W80" s="59"/>
      <c r="X80" s="59"/>
      <c r="Y80" s="98"/>
    </row>
    <row r="81" spans="1:25" s="60" customFormat="1" ht="14.25" customHeight="1" x14ac:dyDescent="0.35">
      <c r="A81" s="1"/>
      <c r="B81" s="97" t="s">
        <v>73</v>
      </c>
      <c r="C81" s="9"/>
      <c r="D81" s="9"/>
      <c r="E81" s="9"/>
      <c r="F81" s="10"/>
      <c r="G81" s="11"/>
      <c r="H81" s="11"/>
      <c r="I81" s="12">
        <f t="shared" ref="I81:I82" si="43">(F81*G81)+H81</f>
        <v>0</v>
      </c>
      <c r="J81" s="12">
        <f t="shared" ref="J81:J82" si="44">I81*$D$20</f>
        <v>0</v>
      </c>
      <c r="K81" s="12">
        <f t="shared" ref="K81:K82" si="45">SUM(I81:J81)*5%</f>
        <v>0</v>
      </c>
      <c r="L81" s="12">
        <f t="shared" ref="L81:L82" si="46">SUM(I81:K81)</f>
        <v>0</v>
      </c>
      <c r="M81" s="12">
        <f t="shared" ref="M81:M82" si="47">SUM(N81, O81,P81,Q81,R81,S81,T81,U81,V81,W81,X81,Y81)</f>
        <v>0</v>
      </c>
      <c r="N81" s="59"/>
      <c r="O81" s="59"/>
      <c r="P81" s="59"/>
      <c r="Q81" s="59"/>
      <c r="R81" s="59"/>
      <c r="S81" s="59"/>
      <c r="T81" s="59"/>
      <c r="U81" s="59"/>
      <c r="V81" s="59"/>
      <c r="W81" s="59"/>
      <c r="X81" s="59"/>
      <c r="Y81" s="98"/>
    </row>
    <row r="82" spans="1:25" s="60" customFormat="1" ht="14.25" customHeight="1" x14ac:dyDescent="0.35">
      <c r="A82" s="1"/>
      <c r="B82" s="97" t="s">
        <v>74</v>
      </c>
      <c r="C82" s="9"/>
      <c r="D82" s="9"/>
      <c r="E82" s="9"/>
      <c r="F82" s="10"/>
      <c r="G82" s="11"/>
      <c r="H82" s="11"/>
      <c r="I82" s="12">
        <f t="shared" si="43"/>
        <v>0</v>
      </c>
      <c r="J82" s="12">
        <f t="shared" si="44"/>
        <v>0</v>
      </c>
      <c r="K82" s="12">
        <f t="shared" si="45"/>
        <v>0</v>
      </c>
      <c r="L82" s="12">
        <f t="shared" si="46"/>
        <v>0</v>
      </c>
      <c r="M82" s="12">
        <f t="shared" si="47"/>
        <v>0</v>
      </c>
      <c r="N82" s="59"/>
      <c r="O82" s="59"/>
      <c r="P82" s="59"/>
      <c r="Q82" s="59"/>
      <c r="R82" s="59"/>
      <c r="S82" s="59"/>
      <c r="T82" s="59"/>
      <c r="U82" s="59"/>
      <c r="V82" s="59"/>
      <c r="W82" s="59"/>
      <c r="X82" s="59"/>
      <c r="Y82" s="98"/>
    </row>
    <row r="83" spans="1:25" s="60" customFormat="1" ht="14.25" customHeight="1" x14ac:dyDescent="0.35">
      <c r="A83" s="1"/>
      <c r="B83" s="97" t="s">
        <v>75</v>
      </c>
      <c r="C83" s="9"/>
      <c r="D83" s="9"/>
      <c r="E83" s="9"/>
      <c r="F83" s="10"/>
      <c r="G83" s="11"/>
      <c r="H83" s="11"/>
      <c r="I83" s="12">
        <f t="shared" si="38"/>
        <v>0</v>
      </c>
      <c r="J83" s="12">
        <f t="shared" si="39"/>
        <v>0</v>
      </c>
      <c r="K83" s="12">
        <f t="shared" si="40"/>
        <v>0</v>
      </c>
      <c r="L83" s="12">
        <f t="shared" si="41"/>
        <v>0</v>
      </c>
      <c r="M83" s="12">
        <f t="shared" si="42"/>
        <v>0</v>
      </c>
      <c r="N83" s="59"/>
      <c r="O83" s="59"/>
      <c r="P83" s="59"/>
      <c r="Q83" s="59"/>
      <c r="R83" s="59"/>
      <c r="S83" s="59"/>
      <c r="T83" s="59"/>
      <c r="U83" s="59"/>
      <c r="V83" s="59"/>
      <c r="W83" s="59"/>
      <c r="X83" s="59"/>
      <c r="Y83" s="98"/>
    </row>
    <row r="84" spans="1:25" s="60" customFormat="1" ht="14.25" customHeight="1" x14ac:dyDescent="0.35">
      <c r="A84" s="1"/>
      <c r="B84" s="97" t="s">
        <v>76</v>
      </c>
      <c r="C84" s="9"/>
      <c r="D84" s="9"/>
      <c r="E84" s="9"/>
      <c r="F84" s="10"/>
      <c r="G84" s="11"/>
      <c r="H84" s="11"/>
      <c r="I84" s="12">
        <f t="shared" si="38"/>
        <v>0</v>
      </c>
      <c r="J84" s="12">
        <f t="shared" si="39"/>
        <v>0</v>
      </c>
      <c r="K84" s="12">
        <f t="shared" si="40"/>
        <v>0</v>
      </c>
      <c r="L84" s="12">
        <f t="shared" si="41"/>
        <v>0</v>
      </c>
      <c r="M84" s="12">
        <f t="shared" si="42"/>
        <v>0</v>
      </c>
      <c r="N84" s="59"/>
      <c r="O84" s="59"/>
      <c r="P84" s="59"/>
      <c r="Q84" s="59"/>
      <c r="R84" s="59"/>
      <c r="S84" s="59"/>
      <c r="T84" s="59"/>
      <c r="U84" s="59"/>
      <c r="V84" s="59"/>
      <c r="W84" s="59"/>
      <c r="X84" s="59"/>
      <c r="Y84" s="98"/>
    </row>
    <row r="85" spans="1:25" s="60" customFormat="1" ht="14.25" customHeight="1" x14ac:dyDescent="0.35">
      <c r="A85" s="1"/>
      <c r="B85" s="97" t="s">
        <v>77</v>
      </c>
      <c r="C85" s="9"/>
      <c r="D85" s="9"/>
      <c r="E85" s="9"/>
      <c r="F85" s="10"/>
      <c r="G85" s="11"/>
      <c r="H85" s="11"/>
      <c r="I85" s="12">
        <f t="shared" si="38"/>
        <v>0</v>
      </c>
      <c r="J85" s="12">
        <f t="shared" si="39"/>
        <v>0</v>
      </c>
      <c r="K85" s="12">
        <f t="shared" si="40"/>
        <v>0</v>
      </c>
      <c r="L85" s="12">
        <f t="shared" si="41"/>
        <v>0</v>
      </c>
      <c r="M85" s="12">
        <f t="shared" si="42"/>
        <v>0</v>
      </c>
      <c r="N85" s="59"/>
      <c r="O85" s="59"/>
      <c r="P85" s="59"/>
      <c r="Q85" s="59"/>
      <c r="R85" s="59"/>
      <c r="S85" s="59"/>
      <c r="T85" s="59"/>
      <c r="U85" s="59"/>
      <c r="V85" s="59"/>
      <c r="W85" s="59"/>
      <c r="X85" s="59"/>
      <c r="Y85" s="98"/>
    </row>
    <row r="86" spans="1:25" s="60" customFormat="1" ht="14.25" customHeight="1" x14ac:dyDescent="0.35">
      <c r="A86" s="1"/>
      <c r="B86" s="97" t="s">
        <v>78</v>
      </c>
      <c r="C86" s="9"/>
      <c r="D86" s="9"/>
      <c r="E86" s="9"/>
      <c r="F86" s="10"/>
      <c r="G86" s="11"/>
      <c r="H86" s="11"/>
      <c r="I86" s="12">
        <f t="shared" si="38"/>
        <v>0</v>
      </c>
      <c r="J86" s="12">
        <f t="shared" si="39"/>
        <v>0</v>
      </c>
      <c r="K86" s="12">
        <f t="shared" si="40"/>
        <v>0</v>
      </c>
      <c r="L86" s="12">
        <f t="shared" si="41"/>
        <v>0</v>
      </c>
      <c r="M86" s="12">
        <f t="shared" si="42"/>
        <v>0</v>
      </c>
      <c r="N86" s="59"/>
      <c r="O86" s="59"/>
      <c r="P86" s="59"/>
      <c r="Q86" s="59"/>
      <c r="R86" s="59"/>
      <c r="S86" s="59"/>
      <c r="T86" s="59"/>
      <c r="U86" s="59"/>
      <c r="V86" s="59"/>
      <c r="W86" s="59"/>
      <c r="X86" s="59"/>
      <c r="Y86" s="98"/>
    </row>
    <row r="87" spans="1:25" s="60" customFormat="1" ht="14.25" customHeight="1" x14ac:dyDescent="0.35">
      <c r="A87" s="1"/>
      <c r="B87" s="97" t="s">
        <v>128</v>
      </c>
      <c r="C87" s="9"/>
      <c r="D87" s="9"/>
      <c r="E87" s="9"/>
      <c r="F87" s="10"/>
      <c r="G87" s="11"/>
      <c r="H87" s="11"/>
      <c r="I87" s="12">
        <f t="shared" si="38"/>
        <v>0</v>
      </c>
      <c r="J87" s="12">
        <f t="shared" si="39"/>
        <v>0</v>
      </c>
      <c r="K87" s="12">
        <f t="shared" si="40"/>
        <v>0</v>
      </c>
      <c r="L87" s="12">
        <f t="shared" si="41"/>
        <v>0</v>
      </c>
      <c r="M87" s="12">
        <f t="shared" si="42"/>
        <v>0</v>
      </c>
      <c r="N87" s="59"/>
      <c r="O87" s="59"/>
      <c r="P87" s="59"/>
      <c r="Q87" s="59"/>
      <c r="R87" s="59"/>
      <c r="S87" s="59"/>
      <c r="T87" s="59"/>
      <c r="U87" s="59"/>
      <c r="V87" s="59"/>
      <c r="W87" s="59"/>
      <c r="X87" s="59"/>
      <c r="Y87" s="98"/>
    </row>
    <row r="88" spans="1:25" s="60" customFormat="1" ht="14.25" customHeight="1" x14ac:dyDescent="0.35">
      <c r="A88" s="1"/>
      <c r="B88" s="97" t="s">
        <v>129</v>
      </c>
      <c r="C88" s="9"/>
      <c r="D88" s="9"/>
      <c r="E88" s="9"/>
      <c r="F88" s="10"/>
      <c r="G88" s="11"/>
      <c r="H88" s="11"/>
      <c r="I88" s="12">
        <f t="shared" si="38"/>
        <v>0</v>
      </c>
      <c r="J88" s="12">
        <f t="shared" si="39"/>
        <v>0</v>
      </c>
      <c r="K88" s="12">
        <f t="shared" si="40"/>
        <v>0</v>
      </c>
      <c r="L88" s="12">
        <f t="shared" si="41"/>
        <v>0</v>
      </c>
      <c r="M88" s="12">
        <f t="shared" si="42"/>
        <v>0</v>
      </c>
      <c r="N88" s="59"/>
      <c r="O88" s="59"/>
      <c r="P88" s="59"/>
      <c r="Q88" s="59"/>
      <c r="R88" s="59"/>
      <c r="S88" s="59"/>
      <c r="T88" s="59"/>
      <c r="U88" s="59"/>
      <c r="V88" s="59"/>
      <c r="W88" s="59"/>
      <c r="X88" s="59"/>
      <c r="Y88" s="98"/>
    </row>
    <row r="89" spans="1:25" s="18" customFormat="1" ht="15.5" x14ac:dyDescent="0.35">
      <c r="A89" s="1"/>
      <c r="B89" s="193" t="s">
        <v>79</v>
      </c>
      <c r="C89" s="137"/>
      <c r="D89" s="138"/>
      <c r="E89" s="6"/>
      <c r="F89" s="7"/>
      <c r="G89" s="8"/>
      <c r="H89" s="8">
        <f t="shared" ref="H89:Y89" si="48">SUM(H90:H101)</f>
        <v>1</v>
      </c>
      <c r="I89" s="8">
        <f t="shared" si="48"/>
        <v>1601</v>
      </c>
      <c r="J89" s="8">
        <f t="shared" si="48"/>
        <v>116.07249999999999</v>
      </c>
      <c r="K89" s="8">
        <f t="shared" si="48"/>
        <v>85.853625000000008</v>
      </c>
      <c r="L89" s="8">
        <f t="shared" si="48"/>
        <v>1802.926125</v>
      </c>
      <c r="M89" s="8">
        <f t="shared" si="48"/>
        <v>1802.926125</v>
      </c>
      <c r="N89" s="8">
        <f t="shared" si="48"/>
        <v>1802.926125</v>
      </c>
      <c r="O89" s="8">
        <f t="shared" si="48"/>
        <v>0</v>
      </c>
      <c r="P89" s="8">
        <f t="shared" si="48"/>
        <v>0</v>
      </c>
      <c r="Q89" s="8">
        <f t="shared" si="48"/>
        <v>0</v>
      </c>
      <c r="R89" s="8">
        <f t="shared" si="48"/>
        <v>0</v>
      </c>
      <c r="S89" s="8">
        <f t="shared" si="48"/>
        <v>0</v>
      </c>
      <c r="T89" s="8">
        <f t="shared" si="48"/>
        <v>0</v>
      </c>
      <c r="U89" s="8">
        <f t="shared" si="48"/>
        <v>0</v>
      </c>
      <c r="V89" s="8">
        <f t="shared" si="48"/>
        <v>0</v>
      </c>
      <c r="W89" s="8">
        <f t="shared" si="48"/>
        <v>0</v>
      </c>
      <c r="X89" s="8">
        <f t="shared" si="48"/>
        <v>0</v>
      </c>
      <c r="Y89" s="96">
        <f t="shared" si="48"/>
        <v>0</v>
      </c>
    </row>
    <row r="90" spans="1:25" s="60" customFormat="1" ht="14.25" customHeight="1" x14ac:dyDescent="0.35">
      <c r="A90" s="1"/>
      <c r="B90" s="97" t="s">
        <v>80</v>
      </c>
      <c r="C90" s="9" t="s">
        <v>101</v>
      </c>
      <c r="D90" s="9" t="s">
        <v>102</v>
      </c>
      <c r="E90" s="9" t="s">
        <v>108</v>
      </c>
      <c r="F90" s="10">
        <v>1</v>
      </c>
      <c r="G90" s="11">
        <v>1600</v>
      </c>
      <c r="H90" s="11">
        <v>1</v>
      </c>
      <c r="I90" s="12">
        <f t="shared" ref="I90:I101" si="49">(F90*G90)+H90</f>
        <v>1601</v>
      </c>
      <c r="J90" s="12">
        <f t="shared" ref="J90:J101" si="50">I90*$D$20</f>
        <v>116.07249999999999</v>
      </c>
      <c r="K90" s="12">
        <f t="shared" ref="K90:K101" si="51">SUM(I90:J90)*5%</f>
        <v>85.853625000000008</v>
      </c>
      <c r="L90" s="12">
        <f t="shared" ref="L90:L101" si="52">SUM(I90:K90)</f>
        <v>1802.926125</v>
      </c>
      <c r="M90" s="12">
        <f t="shared" ref="M90:M101" si="53">SUM(N90, O90,P90,Q90,R90,S90,T90,U90,V90,W90,X90,Y90)</f>
        <v>1802.926125</v>
      </c>
      <c r="N90" s="59">
        <f>L90</f>
        <v>1802.926125</v>
      </c>
      <c r="O90" s="59"/>
      <c r="P90" s="59"/>
      <c r="Q90" s="59"/>
      <c r="R90" s="59"/>
      <c r="S90" s="59"/>
      <c r="T90" s="59"/>
      <c r="U90" s="59"/>
      <c r="V90" s="59"/>
      <c r="W90" s="59"/>
      <c r="X90" s="59"/>
      <c r="Y90" s="98"/>
    </row>
    <row r="91" spans="1:25" s="60" customFormat="1" ht="14.25" customHeight="1" x14ac:dyDescent="0.35">
      <c r="A91" s="1"/>
      <c r="B91" s="97" t="s">
        <v>81</v>
      </c>
      <c r="C91" s="9"/>
      <c r="D91" s="9"/>
      <c r="E91" s="9"/>
      <c r="F91" s="10"/>
      <c r="G91" s="11"/>
      <c r="H91" s="11"/>
      <c r="I91" s="12">
        <f t="shared" si="49"/>
        <v>0</v>
      </c>
      <c r="J91" s="12">
        <f t="shared" si="50"/>
        <v>0</v>
      </c>
      <c r="K91" s="12">
        <f t="shared" si="51"/>
        <v>0</v>
      </c>
      <c r="L91" s="12">
        <f t="shared" si="52"/>
        <v>0</v>
      </c>
      <c r="M91" s="12">
        <f t="shared" si="53"/>
        <v>0</v>
      </c>
      <c r="N91" s="59"/>
      <c r="O91" s="59"/>
      <c r="P91" s="59"/>
      <c r="Q91" s="59"/>
      <c r="R91" s="59"/>
      <c r="S91" s="59"/>
      <c r="T91" s="59"/>
      <c r="U91" s="59"/>
      <c r="V91" s="59"/>
      <c r="W91" s="59"/>
      <c r="X91" s="59"/>
      <c r="Y91" s="98"/>
    </row>
    <row r="92" spans="1:25" s="60" customFormat="1" ht="14.25" customHeight="1" x14ac:dyDescent="0.35">
      <c r="A92" s="1"/>
      <c r="B92" s="97" t="s">
        <v>82</v>
      </c>
      <c r="C92" s="9"/>
      <c r="D92" s="9"/>
      <c r="E92" s="9"/>
      <c r="F92" s="10"/>
      <c r="G92" s="11"/>
      <c r="H92" s="11"/>
      <c r="I92" s="12">
        <f t="shared" si="49"/>
        <v>0</v>
      </c>
      <c r="J92" s="12">
        <f t="shared" si="50"/>
        <v>0</v>
      </c>
      <c r="K92" s="12">
        <f t="shared" si="51"/>
        <v>0</v>
      </c>
      <c r="L92" s="12">
        <f t="shared" si="52"/>
        <v>0</v>
      </c>
      <c r="M92" s="12">
        <f t="shared" si="53"/>
        <v>0</v>
      </c>
      <c r="N92" s="59"/>
      <c r="O92" s="59"/>
      <c r="P92" s="59"/>
      <c r="Q92" s="59"/>
      <c r="R92" s="59"/>
      <c r="S92" s="59"/>
      <c r="T92" s="59"/>
      <c r="U92" s="59"/>
      <c r="V92" s="59"/>
      <c r="W92" s="59"/>
      <c r="X92" s="59"/>
      <c r="Y92" s="98"/>
    </row>
    <row r="93" spans="1:25" s="60" customFormat="1" ht="14.25" customHeight="1" x14ac:dyDescent="0.35">
      <c r="A93" s="1"/>
      <c r="B93" s="97" t="s">
        <v>83</v>
      </c>
      <c r="C93" s="9"/>
      <c r="D93" s="9"/>
      <c r="E93" s="9"/>
      <c r="F93" s="10"/>
      <c r="G93" s="11"/>
      <c r="H93" s="11"/>
      <c r="I93" s="12">
        <f t="shared" si="49"/>
        <v>0</v>
      </c>
      <c r="J93" s="12">
        <f t="shared" si="50"/>
        <v>0</v>
      </c>
      <c r="K93" s="12">
        <f t="shared" si="51"/>
        <v>0</v>
      </c>
      <c r="L93" s="12">
        <f t="shared" si="52"/>
        <v>0</v>
      </c>
      <c r="M93" s="12">
        <f t="shared" si="53"/>
        <v>0</v>
      </c>
      <c r="N93" s="59"/>
      <c r="O93" s="59"/>
      <c r="P93" s="59"/>
      <c r="Q93" s="59"/>
      <c r="R93" s="59"/>
      <c r="S93" s="59"/>
      <c r="T93" s="59"/>
      <c r="U93" s="59"/>
      <c r="V93" s="59"/>
      <c r="W93" s="59"/>
      <c r="X93" s="59"/>
      <c r="Y93" s="98"/>
    </row>
    <row r="94" spans="1:25" s="60" customFormat="1" ht="14.25" customHeight="1" x14ac:dyDescent="0.35">
      <c r="A94" s="1"/>
      <c r="B94" s="97" t="s">
        <v>84</v>
      </c>
      <c r="C94" s="9"/>
      <c r="D94" s="9"/>
      <c r="E94" s="9"/>
      <c r="F94" s="10"/>
      <c r="G94" s="11"/>
      <c r="H94" s="11"/>
      <c r="I94" s="12">
        <f t="shared" si="49"/>
        <v>0</v>
      </c>
      <c r="J94" s="12">
        <f t="shared" si="50"/>
        <v>0</v>
      </c>
      <c r="K94" s="12">
        <f t="shared" si="51"/>
        <v>0</v>
      </c>
      <c r="L94" s="12">
        <f t="shared" si="52"/>
        <v>0</v>
      </c>
      <c r="M94" s="12">
        <f t="shared" si="53"/>
        <v>0</v>
      </c>
      <c r="N94" s="59"/>
      <c r="O94" s="59"/>
      <c r="P94" s="59"/>
      <c r="Q94" s="59"/>
      <c r="R94" s="59"/>
      <c r="S94" s="59"/>
      <c r="T94" s="59"/>
      <c r="U94" s="59"/>
      <c r="V94" s="59"/>
      <c r="W94" s="59"/>
      <c r="X94" s="59"/>
      <c r="Y94" s="98"/>
    </row>
    <row r="95" spans="1:25" s="60" customFormat="1" ht="14.25" customHeight="1" x14ac:dyDescent="0.35">
      <c r="A95" s="1"/>
      <c r="B95" s="97" t="s">
        <v>85</v>
      </c>
      <c r="C95" s="9"/>
      <c r="D95" s="9"/>
      <c r="E95" s="9"/>
      <c r="F95" s="10"/>
      <c r="G95" s="11"/>
      <c r="H95" s="11"/>
      <c r="I95" s="12">
        <f t="shared" ref="I95:I96" si="54">(F95*G95)+H95</f>
        <v>0</v>
      </c>
      <c r="J95" s="12">
        <f t="shared" ref="J95:J96" si="55">I95*$D$20</f>
        <v>0</v>
      </c>
      <c r="K95" s="12">
        <f t="shared" ref="K95:K96" si="56">SUM(I95:J95)*5%</f>
        <v>0</v>
      </c>
      <c r="L95" s="12">
        <f t="shared" ref="L95:L96" si="57">SUM(I95:K95)</f>
        <v>0</v>
      </c>
      <c r="M95" s="12">
        <f t="shared" ref="M95:M96" si="58">SUM(N95, O95,P95,Q95,R95,S95,T95,U95,V95,W95,X95,Y95)</f>
        <v>0</v>
      </c>
      <c r="N95" s="59"/>
      <c r="O95" s="59"/>
      <c r="P95" s="59"/>
      <c r="Q95" s="59"/>
      <c r="R95" s="59"/>
      <c r="S95" s="59"/>
      <c r="T95" s="59"/>
      <c r="U95" s="59"/>
      <c r="V95" s="59"/>
      <c r="W95" s="59"/>
      <c r="X95" s="59"/>
      <c r="Y95" s="98"/>
    </row>
    <row r="96" spans="1:25" s="60" customFormat="1" ht="14.25" customHeight="1" x14ac:dyDescent="0.35">
      <c r="A96" s="1"/>
      <c r="B96" s="97" t="s">
        <v>86</v>
      </c>
      <c r="C96" s="9"/>
      <c r="D96" s="9"/>
      <c r="E96" s="9"/>
      <c r="F96" s="10"/>
      <c r="G96" s="11"/>
      <c r="H96" s="11"/>
      <c r="I96" s="12">
        <f t="shared" si="54"/>
        <v>0</v>
      </c>
      <c r="J96" s="12">
        <f t="shared" si="55"/>
        <v>0</v>
      </c>
      <c r="K96" s="12">
        <f t="shared" si="56"/>
        <v>0</v>
      </c>
      <c r="L96" s="12">
        <f t="shared" si="57"/>
        <v>0</v>
      </c>
      <c r="M96" s="12">
        <f t="shared" si="58"/>
        <v>0</v>
      </c>
      <c r="N96" s="59"/>
      <c r="O96" s="59"/>
      <c r="P96" s="59"/>
      <c r="Q96" s="59"/>
      <c r="R96" s="59"/>
      <c r="S96" s="59"/>
      <c r="T96" s="59"/>
      <c r="U96" s="59"/>
      <c r="V96" s="59"/>
      <c r="W96" s="59"/>
      <c r="X96" s="59"/>
      <c r="Y96" s="98"/>
    </row>
    <row r="97" spans="1:25" s="60" customFormat="1" ht="14.25" customHeight="1" x14ac:dyDescent="0.35">
      <c r="A97" s="1"/>
      <c r="B97" s="97" t="s">
        <v>87</v>
      </c>
      <c r="C97" s="9"/>
      <c r="D97" s="9"/>
      <c r="E97" s="9"/>
      <c r="F97" s="10"/>
      <c r="G97" s="11"/>
      <c r="H97" s="11"/>
      <c r="I97" s="12">
        <f t="shared" si="49"/>
        <v>0</v>
      </c>
      <c r="J97" s="12">
        <f t="shared" si="50"/>
        <v>0</v>
      </c>
      <c r="K97" s="12">
        <f t="shared" si="51"/>
        <v>0</v>
      </c>
      <c r="L97" s="12">
        <f t="shared" si="52"/>
        <v>0</v>
      </c>
      <c r="M97" s="12">
        <f t="shared" si="53"/>
        <v>0</v>
      </c>
      <c r="N97" s="59"/>
      <c r="O97" s="59"/>
      <c r="P97" s="59"/>
      <c r="Q97" s="59"/>
      <c r="R97" s="59"/>
      <c r="S97" s="59"/>
      <c r="T97" s="59"/>
      <c r="U97" s="59"/>
      <c r="V97" s="59"/>
      <c r="W97" s="59"/>
      <c r="X97" s="59"/>
      <c r="Y97" s="98"/>
    </row>
    <row r="98" spans="1:25" s="60" customFormat="1" ht="14.25" customHeight="1" x14ac:dyDescent="0.35">
      <c r="A98" s="1"/>
      <c r="B98" s="97" t="s">
        <v>88</v>
      </c>
      <c r="C98" s="9"/>
      <c r="D98" s="9"/>
      <c r="E98" s="9"/>
      <c r="F98" s="10"/>
      <c r="G98" s="11"/>
      <c r="H98" s="11"/>
      <c r="I98" s="12">
        <f t="shared" si="49"/>
        <v>0</v>
      </c>
      <c r="J98" s="12">
        <f t="shared" si="50"/>
        <v>0</v>
      </c>
      <c r="K98" s="12">
        <f t="shared" si="51"/>
        <v>0</v>
      </c>
      <c r="L98" s="12">
        <f t="shared" si="52"/>
        <v>0</v>
      </c>
      <c r="M98" s="12">
        <f t="shared" si="53"/>
        <v>0</v>
      </c>
      <c r="N98" s="59"/>
      <c r="O98" s="59"/>
      <c r="P98" s="59"/>
      <c r="Q98" s="59"/>
      <c r="R98" s="59"/>
      <c r="S98" s="59"/>
      <c r="T98" s="59"/>
      <c r="U98" s="59"/>
      <c r="V98" s="59"/>
      <c r="W98" s="59"/>
      <c r="X98" s="59"/>
      <c r="Y98" s="98"/>
    </row>
    <row r="99" spans="1:25" s="60" customFormat="1" ht="14.25" customHeight="1" x14ac:dyDescent="0.35">
      <c r="A99" s="1"/>
      <c r="B99" s="97" t="s">
        <v>89</v>
      </c>
      <c r="C99" s="9"/>
      <c r="D99" s="9"/>
      <c r="E99" s="9"/>
      <c r="F99" s="10"/>
      <c r="G99" s="11"/>
      <c r="H99" s="11"/>
      <c r="I99" s="12">
        <f t="shared" si="49"/>
        <v>0</v>
      </c>
      <c r="J99" s="12">
        <f t="shared" si="50"/>
        <v>0</v>
      </c>
      <c r="K99" s="12">
        <f t="shared" si="51"/>
        <v>0</v>
      </c>
      <c r="L99" s="12">
        <f t="shared" si="52"/>
        <v>0</v>
      </c>
      <c r="M99" s="12">
        <f t="shared" si="53"/>
        <v>0</v>
      </c>
      <c r="N99" s="59"/>
      <c r="O99" s="59"/>
      <c r="P99" s="59"/>
      <c r="Q99" s="59"/>
      <c r="R99" s="59"/>
      <c r="S99" s="59"/>
      <c r="T99" s="59"/>
      <c r="U99" s="59"/>
      <c r="V99" s="59"/>
      <c r="W99" s="59"/>
      <c r="X99" s="59"/>
      <c r="Y99" s="98"/>
    </row>
    <row r="100" spans="1:25" s="60" customFormat="1" ht="14.25" customHeight="1" x14ac:dyDescent="0.35">
      <c r="A100" s="1"/>
      <c r="B100" s="97" t="s">
        <v>130</v>
      </c>
      <c r="C100" s="9"/>
      <c r="D100" s="9"/>
      <c r="E100" s="9"/>
      <c r="F100" s="10"/>
      <c r="G100" s="11"/>
      <c r="H100" s="11"/>
      <c r="I100" s="12">
        <f t="shared" ref="I100" si="59">(F100*G100)+H100</f>
        <v>0</v>
      </c>
      <c r="J100" s="12">
        <f t="shared" ref="J100" si="60">I100*$D$20</f>
        <v>0</v>
      </c>
      <c r="K100" s="12">
        <f t="shared" ref="K100" si="61">SUM(I100:J100)*5%</f>
        <v>0</v>
      </c>
      <c r="L100" s="12">
        <f t="shared" ref="L100" si="62">SUM(I100:K100)</f>
        <v>0</v>
      </c>
      <c r="M100" s="12">
        <f t="shared" ref="M100" si="63">SUM(N100, O100,P100,Q100,R100,S100,T100,U100,V100,W100,X100,Y100)</f>
        <v>0</v>
      </c>
      <c r="N100" s="59"/>
      <c r="O100" s="59"/>
      <c r="P100" s="59"/>
      <c r="Q100" s="59"/>
      <c r="R100" s="59"/>
      <c r="S100" s="59"/>
      <c r="T100" s="59"/>
      <c r="U100" s="59"/>
      <c r="V100" s="59"/>
      <c r="W100" s="59"/>
      <c r="X100" s="59"/>
      <c r="Y100" s="98"/>
    </row>
    <row r="101" spans="1:25" s="60" customFormat="1" ht="14.25" customHeight="1" x14ac:dyDescent="0.35">
      <c r="A101" s="1"/>
      <c r="B101" s="97" t="s">
        <v>131</v>
      </c>
      <c r="C101" s="9"/>
      <c r="D101" s="9"/>
      <c r="E101" s="9"/>
      <c r="F101" s="10"/>
      <c r="G101" s="11"/>
      <c r="H101" s="11"/>
      <c r="I101" s="12">
        <f t="shared" si="49"/>
        <v>0</v>
      </c>
      <c r="J101" s="12">
        <f t="shared" si="50"/>
        <v>0</v>
      </c>
      <c r="K101" s="12">
        <f t="shared" si="51"/>
        <v>0</v>
      </c>
      <c r="L101" s="12">
        <f t="shared" si="52"/>
        <v>0</v>
      </c>
      <c r="M101" s="12">
        <f t="shared" si="53"/>
        <v>0</v>
      </c>
      <c r="N101" s="59"/>
      <c r="O101" s="59"/>
      <c r="P101" s="59"/>
      <c r="Q101" s="59"/>
      <c r="R101" s="59"/>
      <c r="S101" s="59"/>
      <c r="T101" s="59"/>
      <c r="U101" s="59"/>
      <c r="V101" s="59"/>
      <c r="W101" s="59"/>
      <c r="X101" s="59"/>
      <c r="Y101" s="98"/>
    </row>
    <row r="102" spans="1:25" s="18" customFormat="1" ht="15.5" x14ac:dyDescent="0.35">
      <c r="A102" s="1"/>
      <c r="B102" s="193" t="s">
        <v>90</v>
      </c>
      <c r="C102" s="137"/>
      <c r="D102" s="138"/>
      <c r="E102" s="6"/>
      <c r="F102" s="7"/>
      <c r="G102" s="8"/>
      <c r="H102" s="8">
        <f t="shared" ref="H102:Y102" si="64">SUM(H103:H114)</f>
        <v>1</v>
      </c>
      <c r="I102" s="8">
        <f t="shared" si="64"/>
        <v>1601</v>
      </c>
      <c r="J102" s="8">
        <f t="shared" si="64"/>
        <v>116.07249999999999</v>
      </c>
      <c r="K102" s="8">
        <f t="shared" si="64"/>
        <v>85.853625000000008</v>
      </c>
      <c r="L102" s="8">
        <f t="shared" si="64"/>
        <v>1802.926125</v>
      </c>
      <c r="M102" s="8">
        <f t="shared" si="64"/>
        <v>1802.926125</v>
      </c>
      <c r="N102" s="8">
        <f t="shared" si="64"/>
        <v>1802.926125</v>
      </c>
      <c r="O102" s="8">
        <f t="shared" si="64"/>
        <v>0</v>
      </c>
      <c r="P102" s="8">
        <f t="shared" si="64"/>
        <v>0</v>
      </c>
      <c r="Q102" s="8">
        <f t="shared" si="64"/>
        <v>0</v>
      </c>
      <c r="R102" s="8">
        <f t="shared" si="64"/>
        <v>0</v>
      </c>
      <c r="S102" s="8">
        <f t="shared" si="64"/>
        <v>0</v>
      </c>
      <c r="T102" s="8">
        <f t="shared" si="64"/>
        <v>0</v>
      </c>
      <c r="U102" s="8">
        <f t="shared" si="64"/>
        <v>0</v>
      </c>
      <c r="V102" s="8">
        <f t="shared" si="64"/>
        <v>0</v>
      </c>
      <c r="W102" s="8">
        <f t="shared" si="64"/>
        <v>0</v>
      </c>
      <c r="X102" s="8">
        <f t="shared" si="64"/>
        <v>0</v>
      </c>
      <c r="Y102" s="96">
        <f t="shared" si="64"/>
        <v>0</v>
      </c>
    </row>
    <row r="103" spans="1:25" s="60" customFormat="1" ht="14.25" customHeight="1" x14ac:dyDescent="0.35">
      <c r="A103" s="1"/>
      <c r="B103" s="97" t="s">
        <v>91</v>
      </c>
      <c r="C103" s="9" t="s">
        <v>101</v>
      </c>
      <c r="D103" s="9" t="s">
        <v>102</v>
      </c>
      <c r="E103" s="9" t="s">
        <v>107</v>
      </c>
      <c r="F103" s="10">
        <v>1</v>
      </c>
      <c r="G103" s="11">
        <v>1600</v>
      </c>
      <c r="H103" s="11">
        <v>1</v>
      </c>
      <c r="I103" s="12">
        <f t="shared" ref="I103:I114" si="65">(F103*G103)+H103</f>
        <v>1601</v>
      </c>
      <c r="J103" s="12">
        <f t="shared" ref="J103:J114" si="66">I103*$D$20</f>
        <v>116.07249999999999</v>
      </c>
      <c r="K103" s="12">
        <f t="shared" ref="K103:K114" si="67">SUM(I103:J103)*5%</f>
        <v>85.853625000000008</v>
      </c>
      <c r="L103" s="12">
        <f t="shared" ref="L103:L114" si="68">SUM(I103:K103)</f>
        <v>1802.926125</v>
      </c>
      <c r="M103" s="12">
        <f t="shared" ref="M103:M114" si="69">SUM(N103, O103,P103,Q103,R103,S103,T103,U103,V103,W103,X103,Y103)</f>
        <v>1802.926125</v>
      </c>
      <c r="N103" s="59">
        <f>L103</f>
        <v>1802.926125</v>
      </c>
      <c r="O103" s="59"/>
      <c r="P103" s="59"/>
      <c r="Q103" s="59"/>
      <c r="R103" s="59"/>
      <c r="S103" s="59"/>
      <c r="T103" s="59"/>
      <c r="U103" s="59"/>
      <c r="V103" s="59"/>
      <c r="W103" s="59"/>
      <c r="X103" s="59"/>
      <c r="Y103" s="98"/>
    </row>
    <row r="104" spans="1:25" s="60" customFormat="1" ht="14.25" customHeight="1" x14ac:dyDescent="0.35">
      <c r="A104" s="1"/>
      <c r="B104" s="97" t="s">
        <v>92</v>
      </c>
      <c r="C104" s="9"/>
      <c r="D104" s="9"/>
      <c r="E104" s="9"/>
      <c r="F104" s="10"/>
      <c r="G104" s="11"/>
      <c r="H104" s="11"/>
      <c r="I104" s="12">
        <f t="shared" si="65"/>
        <v>0</v>
      </c>
      <c r="J104" s="12">
        <f t="shared" si="66"/>
        <v>0</v>
      </c>
      <c r="K104" s="12">
        <f t="shared" si="67"/>
        <v>0</v>
      </c>
      <c r="L104" s="12">
        <f t="shared" si="68"/>
        <v>0</v>
      </c>
      <c r="M104" s="12">
        <f t="shared" si="69"/>
        <v>0</v>
      </c>
      <c r="N104" s="59"/>
      <c r="O104" s="59"/>
      <c r="P104" s="59"/>
      <c r="Q104" s="59"/>
      <c r="R104" s="59"/>
      <c r="S104" s="59"/>
      <c r="T104" s="59"/>
      <c r="U104" s="59"/>
      <c r="V104" s="59"/>
      <c r="W104" s="59"/>
      <c r="X104" s="59"/>
      <c r="Y104" s="98"/>
    </row>
    <row r="105" spans="1:25" s="60" customFormat="1" ht="14.25" customHeight="1" x14ac:dyDescent="0.35">
      <c r="A105" s="1"/>
      <c r="B105" s="97" t="s">
        <v>93</v>
      </c>
      <c r="C105" s="9"/>
      <c r="D105" s="9"/>
      <c r="E105" s="9"/>
      <c r="F105" s="10"/>
      <c r="G105" s="11"/>
      <c r="H105" s="11"/>
      <c r="I105" s="12">
        <f t="shared" si="65"/>
        <v>0</v>
      </c>
      <c r="J105" s="12">
        <f t="shared" si="66"/>
        <v>0</v>
      </c>
      <c r="K105" s="12">
        <f t="shared" si="67"/>
        <v>0</v>
      </c>
      <c r="L105" s="12">
        <f t="shared" si="68"/>
        <v>0</v>
      </c>
      <c r="M105" s="12">
        <f t="shared" si="69"/>
        <v>0</v>
      </c>
      <c r="N105" s="59"/>
      <c r="O105" s="59"/>
      <c r="P105" s="59"/>
      <c r="Q105" s="59"/>
      <c r="R105" s="59"/>
      <c r="S105" s="59"/>
      <c r="T105" s="59"/>
      <c r="U105" s="59"/>
      <c r="V105" s="59"/>
      <c r="W105" s="59"/>
      <c r="X105" s="59"/>
      <c r="Y105" s="98"/>
    </row>
    <row r="106" spans="1:25" s="61" customFormat="1" ht="14.25" customHeight="1" x14ac:dyDescent="0.35">
      <c r="A106" s="1"/>
      <c r="B106" s="97" t="s">
        <v>94</v>
      </c>
      <c r="C106" s="9"/>
      <c r="D106" s="9"/>
      <c r="E106" s="9"/>
      <c r="F106" s="10"/>
      <c r="G106" s="11"/>
      <c r="H106" s="11"/>
      <c r="I106" s="12">
        <f t="shared" si="65"/>
        <v>0</v>
      </c>
      <c r="J106" s="12">
        <f t="shared" si="66"/>
        <v>0</v>
      </c>
      <c r="K106" s="12">
        <f t="shared" si="67"/>
        <v>0</v>
      </c>
      <c r="L106" s="12">
        <f t="shared" si="68"/>
        <v>0</v>
      </c>
      <c r="M106" s="12">
        <f t="shared" si="69"/>
        <v>0</v>
      </c>
      <c r="N106" s="59"/>
      <c r="O106" s="59"/>
      <c r="P106" s="59"/>
      <c r="Q106" s="59"/>
      <c r="R106" s="59"/>
      <c r="S106" s="59"/>
      <c r="T106" s="59"/>
      <c r="U106" s="59"/>
      <c r="V106" s="59"/>
      <c r="W106" s="59"/>
      <c r="X106" s="59"/>
      <c r="Y106" s="98"/>
    </row>
    <row r="107" spans="1:25" s="60" customFormat="1" ht="14.25" customHeight="1" x14ac:dyDescent="0.35">
      <c r="A107" s="1"/>
      <c r="B107" s="97" t="s">
        <v>95</v>
      </c>
      <c r="C107" s="9"/>
      <c r="D107" s="9"/>
      <c r="E107" s="9"/>
      <c r="F107" s="10"/>
      <c r="G107" s="11"/>
      <c r="H107" s="11"/>
      <c r="I107" s="12">
        <f t="shared" si="65"/>
        <v>0</v>
      </c>
      <c r="J107" s="12">
        <f t="shared" si="66"/>
        <v>0</v>
      </c>
      <c r="K107" s="12">
        <f t="shared" si="67"/>
        <v>0</v>
      </c>
      <c r="L107" s="12">
        <f t="shared" si="68"/>
        <v>0</v>
      </c>
      <c r="M107" s="12">
        <f t="shared" si="69"/>
        <v>0</v>
      </c>
      <c r="N107" s="59"/>
      <c r="O107" s="59"/>
      <c r="P107" s="59"/>
      <c r="Q107" s="59"/>
      <c r="R107" s="59"/>
      <c r="S107" s="59"/>
      <c r="T107" s="59"/>
      <c r="U107" s="59"/>
      <c r="V107" s="59"/>
      <c r="W107" s="59"/>
      <c r="X107" s="59"/>
      <c r="Y107" s="98"/>
    </row>
    <row r="108" spans="1:25" s="60" customFormat="1" ht="14.25" customHeight="1" x14ac:dyDescent="0.35">
      <c r="A108" s="1"/>
      <c r="B108" s="97" t="s">
        <v>96</v>
      </c>
      <c r="C108" s="9"/>
      <c r="D108" s="9"/>
      <c r="E108" s="9"/>
      <c r="F108" s="10"/>
      <c r="G108" s="11"/>
      <c r="H108" s="11"/>
      <c r="I108" s="12">
        <f t="shared" ref="I108:I109" si="70">(F108*G108)+H108</f>
        <v>0</v>
      </c>
      <c r="J108" s="12">
        <f t="shared" ref="J108:J109" si="71">I108*$D$20</f>
        <v>0</v>
      </c>
      <c r="K108" s="12">
        <f t="shared" ref="K108:K109" si="72">SUM(I108:J108)*5%</f>
        <v>0</v>
      </c>
      <c r="L108" s="12">
        <f t="shared" ref="L108:L109" si="73">SUM(I108:K108)</f>
        <v>0</v>
      </c>
      <c r="M108" s="12">
        <f t="shared" ref="M108:M109" si="74">SUM(N108, O108,P108,Q108,R108,S108,T108,U108,V108,W108,X108,Y108)</f>
        <v>0</v>
      </c>
      <c r="N108" s="59"/>
      <c r="O108" s="59"/>
      <c r="P108" s="59"/>
      <c r="Q108" s="59"/>
      <c r="R108" s="59"/>
      <c r="S108" s="59"/>
      <c r="T108" s="59"/>
      <c r="U108" s="59"/>
      <c r="V108" s="59"/>
      <c r="W108" s="59"/>
      <c r="X108" s="59"/>
      <c r="Y108" s="98"/>
    </row>
    <row r="109" spans="1:25" s="60" customFormat="1" ht="14.25" customHeight="1" x14ac:dyDescent="0.35">
      <c r="A109" s="1"/>
      <c r="B109" s="97" t="s">
        <v>97</v>
      </c>
      <c r="C109" s="9"/>
      <c r="D109" s="9"/>
      <c r="E109" s="9"/>
      <c r="F109" s="10"/>
      <c r="G109" s="11"/>
      <c r="H109" s="11"/>
      <c r="I109" s="12">
        <f t="shared" si="70"/>
        <v>0</v>
      </c>
      <c r="J109" s="12">
        <f t="shared" si="71"/>
        <v>0</v>
      </c>
      <c r="K109" s="12">
        <f t="shared" si="72"/>
        <v>0</v>
      </c>
      <c r="L109" s="12">
        <f t="shared" si="73"/>
        <v>0</v>
      </c>
      <c r="M109" s="12">
        <f t="shared" si="74"/>
        <v>0</v>
      </c>
      <c r="N109" s="59"/>
      <c r="O109" s="59"/>
      <c r="P109" s="59"/>
      <c r="Q109" s="59"/>
      <c r="R109" s="59"/>
      <c r="S109" s="59"/>
      <c r="T109" s="59"/>
      <c r="U109" s="59"/>
      <c r="V109" s="59"/>
      <c r="W109" s="59"/>
      <c r="X109" s="59"/>
      <c r="Y109" s="98"/>
    </row>
    <row r="110" spans="1:25" s="60" customFormat="1" ht="14.25" customHeight="1" x14ac:dyDescent="0.35">
      <c r="A110" s="1"/>
      <c r="B110" s="97" t="s">
        <v>98</v>
      </c>
      <c r="C110" s="9"/>
      <c r="D110" s="9"/>
      <c r="E110" s="9"/>
      <c r="F110" s="10"/>
      <c r="G110" s="11"/>
      <c r="H110" s="11"/>
      <c r="I110" s="12">
        <f t="shared" si="65"/>
        <v>0</v>
      </c>
      <c r="J110" s="12">
        <f t="shared" si="66"/>
        <v>0</v>
      </c>
      <c r="K110" s="12">
        <f t="shared" si="67"/>
        <v>0</v>
      </c>
      <c r="L110" s="12">
        <f t="shared" si="68"/>
        <v>0</v>
      </c>
      <c r="M110" s="12">
        <f t="shared" si="69"/>
        <v>0</v>
      </c>
      <c r="N110" s="59"/>
      <c r="O110" s="59"/>
      <c r="P110" s="59"/>
      <c r="Q110" s="59"/>
      <c r="R110" s="59"/>
      <c r="S110" s="59"/>
      <c r="T110" s="59"/>
      <c r="U110" s="59"/>
      <c r="V110" s="59"/>
      <c r="W110" s="59"/>
      <c r="X110" s="59"/>
      <c r="Y110" s="98"/>
    </row>
    <row r="111" spans="1:25" s="60" customFormat="1" ht="14.25" customHeight="1" x14ac:dyDescent="0.35">
      <c r="A111" s="1"/>
      <c r="B111" s="97" t="s">
        <v>99</v>
      </c>
      <c r="C111" s="9"/>
      <c r="D111" s="9"/>
      <c r="E111" s="9"/>
      <c r="F111" s="10"/>
      <c r="G111" s="11"/>
      <c r="H111" s="11"/>
      <c r="I111" s="12">
        <f t="shared" si="65"/>
        <v>0</v>
      </c>
      <c r="J111" s="12">
        <f t="shared" si="66"/>
        <v>0</v>
      </c>
      <c r="K111" s="12">
        <f t="shared" si="67"/>
        <v>0</v>
      </c>
      <c r="L111" s="12">
        <f t="shared" si="68"/>
        <v>0</v>
      </c>
      <c r="M111" s="12">
        <f t="shared" si="69"/>
        <v>0</v>
      </c>
      <c r="N111" s="59"/>
      <c r="O111" s="59"/>
      <c r="P111" s="59"/>
      <c r="Q111" s="59"/>
      <c r="R111" s="59"/>
      <c r="S111" s="59"/>
      <c r="T111" s="59"/>
      <c r="U111" s="59"/>
      <c r="V111" s="59"/>
      <c r="W111" s="59"/>
      <c r="X111" s="59"/>
      <c r="Y111" s="98"/>
    </row>
    <row r="112" spans="1:25" s="60" customFormat="1" ht="14.25" customHeight="1" x14ac:dyDescent="0.35">
      <c r="A112" s="1"/>
      <c r="B112" s="97" t="s">
        <v>100</v>
      </c>
      <c r="C112" s="9"/>
      <c r="D112" s="9"/>
      <c r="E112" s="9"/>
      <c r="F112" s="10"/>
      <c r="G112" s="11"/>
      <c r="H112" s="11"/>
      <c r="I112" s="12">
        <f t="shared" si="65"/>
        <v>0</v>
      </c>
      <c r="J112" s="12">
        <f t="shared" si="66"/>
        <v>0</v>
      </c>
      <c r="K112" s="12">
        <f t="shared" si="67"/>
        <v>0</v>
      </c>
      <c r="L112" s="12">
        <f t="shared" si="68"/>
        <v>0</v>
      </c>
      <c r="M112" s="12">
        <f t="shared" si="69"/>
        <v>0</v>
      </c>
      <c r="N112" s="59"/>
      <c r="O112" s="59"/>
      <c r="P112" s="59"/>
      <c r="Q112" s="59"/>
      <c r="R112" s="59"/>
      <c r="S112" s="59"/>
      <c r="T112" s="59"/>
      <c r="U112" s="59"/>
      <c r="V112" s="59"/>
      <c r="W112" s="59"/>
      <c r="X112" s="59"/>
      <c r="Y112" s="98"/>
    </row>
    <row r="113" spans="1:25" s="60" customFormat="1" ht="14.25" customHeight="1" x14ac:dyDescent="0.35">
      <c r="A113" s="1"/>
      <c r="B113" s="97" t="s">
        <v>132</v>
      </c>
      <c r="C113" s="9"/>
      <c r="D113" s="9"/>
      <c r="E113" s="9"/>
      <c r="F113" s="10"/>
      <c r="G113" s="11"/>
      <c r="H113" s="11"/>
      <c r="I113" s="12">
        <f t="shared" si="65"/>
        <v>0</v>
      </c>
      <c r="J113" s="12">
        <f t="shared" si="66"/>
        <v>0</v>
      </c>
      <c r="K113" s="12">
        <f t="shared" si="67"/>
        <v>0</v>
      </c>
      <c r="L113" s="12">
        <f t="shared" si="68"/>
        <v>0</v>
      </c>
      <c r="M113" s="12">
        <f t="shared" si="69"/>
        <v>0</v>
      </c>
      <c r="N113" s="59"/>
      <c r="O113" s="59"/>
      <c r="P113" s="59"/>
      <c r="Q113" s="59"/>
      <c r="R113" s="59"/>
      <c r="S113" s="59"/>
      <c r="T113" s="59"/>
      <c r="U113" s="59"/>
      <c r="V113" s="59"/>
      <c r="W113" s="59"/>
      <c r="X113" s="59"/>
      <c r="Y113" s="98"/>
    </row>
    <row r="114" spans="1:25" s="60" customFormat="1" ht="14.25" customHeight="1" x14ac:dyDescent="0.35">
      <c r="A114" s="1"/>
      <c r="B114" s="97" t="s">
        <v>133</v>
      </c>
      <c r="C114" s="9"/>
      <c r="D114" s="9"/>
      <c r="E114" s="9"/>
      <c r="F114" s="10"/>
      <c r="G114" s="11"/>
      <c r="H114" s="11"/>
      <c r="I114" s="12">
        <f t="shared" si="65"/>
        <v>0</v>
      </c>
      <c r="J114" s="12">
        <f t="shared" si="66"/>
        <v>0</v>
      </c>
      <c r="K114" s="12">
        <f t="shared" si="67"/>
        <v>0</v>
      </c>
      <c r="L114" s="12">
        <f t="shared" si="68"/>
        <v>0</v>
      </c>
      <c r="M114" s="12">
        <f t="shared" si="69"/>
        <v>0</v>
      </c>
      <c r="N114" s="59"/>
      <c r="O114" s="59"/>
      <c r="P114" s="59"/>
      <c r="Q114" s="59"/>
      <c r="R114" s="59"/>
      <c r="S114" s="59"/>
      <c r="T114" s="59"/>
      <c r="U114" s="59"/>
      <c r="V114" s="59"/>
      <c r="W114" s="59"/>
      <c r="X114" s="59"/>
      <c r="Y114" s="98"/>
    </row>
    <row r="115" spans="1:25" s="18" customFormat="1" ht="15.5" x14ac:dyDescent="0.35">
      <c r="A115" s="1"/>
      <c r="B115" s="154" t="s">
        <v>113</v>
      </c>
      <c r="C115" s="212"/>
      <c r="D115" s="213"/>
      <c r="E115" s="31"/>
      <c r="F115" s="32"/>
      <c r="G115" s="33"/>
      <c r="H115" s="33">
        <f>SUMIF($E$38:$E$49:$E$51:$E$62:$E$64:$E$75:$E$77:$E$88:$E$90:$E$101:$E$103:$E$114,"QA",H$38:H$49:H$51:H$62:H$64:H$75:H$77:H$88:H$90:H$101:H$103:H$114)</f>
        <v>2</v>
      </c>
      <c r="I115" s="33">
        <f>SUMIF($E$38:$E$49:$E$51:$E$62:$E$64:$E$75:$E$77:$E$88:$E$90:$E$101:$E$103:$E$114,"QA",I$38:I$49:I$51:I$62:I$64:I$75:I$77:I$88:I$90:I$101:I$103:I$114)</f>
        <v>13752</v>
      </c>
      <c r="J115" s="33">
        <f>SUMIF($E$38:$E$49:$E$51:$E$62:$E$64:$E$75:$E$77:$E$88:$E$90:$E$101:$E$103:$E$114,"QA",J$38:J$49:J$51:J$62:J$64:J$75:J$77:J$88:J$90:J$101:J$103:J$114)</f>
        <v>997.02</v>
      </c>
      <c r="K115" s="33">
        <f>SUMIF($E$38:$E$49:$E$51:$E$62:$E$64:$E$75:$E$77:$E$88:$E$90:$E$101:$E$103:$E$114,"QA",K$38:K$49:K$51:K$62:K$64:K$75:K$77:K$88:K$90:K$101:K$103:K$114)</f>
        <v>737.45100000000002</v>
      </c>
      <c r="L115" s="33">
        <f>SUMIF($E$38:$E$49:$E$51:$E$62:$E$64:$E$75:$E$77:$E$88:$E$90:$E$101:$E$103:$E$114,"QA",L$38:L$49:L$51:L$62:L$64:L$75:L$77:L$88:L$90:L$101:L$103:L$114)</f>
        <v>15486.471</v>
      </c>
      <c r="M115" s="33">
        <f>SUMIF($E$38:$E$49:$E$51:$E$62:$E$64:$E$75:$E$77:$E$88:$E$90:$E$101:$E$103:$E$114,"QA",M$38:M$49:M$51:M$62:M$64:M$75:M$77:M$88:M$90:M$101:M$103:M$114)</f>
        <v>15486.471</v>
      </c>
      <c r="N115" s="33">
        <f>SUMIF($E$38:$E$49:$E$51:$E$62:$E$64:$E$75:$E$77:$E$88:$E$90:$E$101:$E$103:$E$114,"QA",N$38:N$49:N$51:N$62:N$64:N$75:N$77:N$88:N$90:N$101:N$103:N$114)</f>
        <v>15486.471</v>
      </c>
      <c r="O115" s="33">
        <f>SUMIF($E$38:$E$49:$E$51:$E$62:$E$64:$E$75:$E$77:$E$88:$E$90:$E$101:$E$103:$E$114,"QA",O$38:O$49:O$51:O$62:O$64:O$75:O$77:O$88:O$90:O$101:O$103:O$114)</f>
        <v>0</v>
      </c>
      <c r="P115" s="33">
        <f>SUMIF($E$38:$E$49:$E$51:$E$62:$E$64:$E$75:$E$77:$E$88:$E$90:$E$101:$E$103:$E$114,"QA",P$38:P$49:P$51:P$62:P$64:P$75:P$77:P$88:P$90:P$101:P$103:P$114)</f>
        <v>0</v>
      </c>
      <c r="Q115" s="33">
        <f>SUMIF($E$38:$E$49:$E$51:$E$62:$E$64:$E$75:$E$77:$E$88:$E$90:$E$101:$E$103:$E$114,"QA",Q$38:Q$49:Q$51:Q$62:Q$64:Q$75:Q$77:Q$88:Q$90:Q$101:Q$103:Q$114)</f>
        <v>0</v>
      </c>
      <c r="R115" s="33">
        <f>SUMIF($E$38:$E$49:$E$51:$E$62:$E$64:$E$75:$E$77:$E$88:$E$90:$E$101:$E$103:$E$114,"QA",R$38:R$49:R$51:R$62:R$64:R$75:R$77:R$88:R$90:R$101:R$103:R$114)</f>
        <v>0</v>
      </c>
      <c r="S115" s="33">
        <f>SUMIF($E$38:$E$49:$E$51:$E$62:$E$64:$E$75:$E$77:$E$88:$E$90:$E$101:$E$103:$E$114,"QA",S$38:S$49:S$51:S$62:S$64:S$75:S$77:S$88:S$90:S$101:S$103:S$114)</f>
        <v>0</v>
      </c>
      <c r="T115" s="33">
        <f>SUMIF($E$38:$E$49:$E$51:$E$62:$E$64:$E$75:$E$77:$E$88:$E$90:$E$101:$E$103:$E$114,"QA",T$38:T$49:T$51:T$62:T$64:T$75:T$77:T$88:T$90:T$101:T$103:T$114)</f>
        <v>0</v>
      </c>
      <c r="U115" s="33">
        <f>SUMIF($E$38:$E$49:$E$51:$E$62:$E$64:$E$75:$E$77:$E$88:$E$90:$E$101:$E$103:$E$114,"QA",U$38:U$49:U$51:U$62:U$64:U$75:U$77:U$88:U$90:U$101:U$103:U$114)</f>
        <v>0</v>
      </c>
      <c r="V115" s="33">
        <f>SUMIF($E$38:$E$49:$E$51:$E$62:$E$64:$E$75:$E$77:$E$88:$E$90:$E$101:$E$103:$E$114,"QA",V$38:V$49:V$51:V$62:V$64:V$75:V$77:V$88:V$90:V$101:V$103:V$114)</f>
        <v>0</v>
      </c>
      <c r="W115" s="33">
        <f>SUMIF($E$38:$E$49:$E$51:$E$62:$E$64:$E$75:$E$77:$E$88:$E$90:$E$101:$E$103:$E$114,"QA",W$38:W$49:W$51:W$62:W$64:W$75:W$77:W$88:W$90:W$101:W$103:W$114)</f>
        <v>0</v>
      </c>
      <c r="X115" s="33">
        <f>SUMIF($E$38:$E$49:$E$51:$E$62:$E$64:$E$75:$E$77:$E$88:$E$90:$E$101:$E$103:$E$114,"QA",X$38:X$49:X$51:X$62:X$64:X$75:X$77:X$88:X$90:X$101:X$103:X$114)</f>
        <v>0</v>
      </c>
      <c r="Y115" s="99">
        <f>SUMIF($E$38:$E$49:$E$51:$E$62:$E$64:$E$75:$E$77:$E$88:$E$90:$E$101:$E$103:$E$114,"QA",Y$38:Y$49:Y$51:Y$62:Y$64:Y$75:Y$77:Y$88:Y$90:Y$101:Y$103:Y$114)</f>
        <v>0</v>
      </c>
    </row>
    <row r="116" spans="1:25" s="18" customFormat="1" ht="15.5" x14ac:dyDescent="0.35">
      <c r="A116" s="1"/>
      <c r="B116" s="157" t="s">
        <v>117</v>
      </c>
      <c r="C116" s="216"/>
      <c r="D116" s="217"/>
      <c r="E116" s="34"/>
      <c r="F116" s="35"/>
      <c r="G116" s="36"/>
      <c r="H116" s="36">
        <f>SUMIF($E$38:$E$49:$E$51:$E$62:$E$64:$E$75:$E$77:$E$88:$E$90:$E$101:$E$103:$E$114,"PIP",H$38:H$49:H$51:H$62:H$64:H$75:H$77:H$88:H$90:H$101:H$103:H$114)</f>
        <v>2</v>
      </c>
      <c r="I116" s="36">
        <f>SUMIF($E$38:$E$49:$E$51:$E$62:$E$64:$E$75:$E$77:$E$88:$E$90:$E$101:$E$103:$E$114,"PIP",I$38:I$49:I$51:I$62:I$64:I$75:I$77:I$88:I$90:I$101:I$103:I$114)</f>
        <v>8002</v>
      </c>
      <c r="J116" s="36">
        <f>SUMIF($E$38:$E$49:$E$51:$E$62:$E$64:$E$75:$E$77:$E$88:$E$90:$E$101:$E$103:$E$114,"PIP",J$38:J$49:J$51:J$62:J$64:J$75:J$77:J$88:J$90:J$101:J$103:J$114)</f>
        <v>580.14499999999998</v>
      </c>
      <c r="K116" s="36">
        <f>SUMIF($E$38:$E$49:$E$51:$E$62:$E$64:$E$75:$E$77:$E$88:$E$90:$E$101:$E$103:$E$114,"PIP",K$38:K$49:K$51:K$62:K$64:K$75:K$77:K$88:K$90:K$101:K$103:K$114)</f>
        <v>429.10725000000008</v>
      </c>
      <c r="L116" s="36">
        <f>SUMIF($E$38:$E$49:$E$51:$E$62:$E$64:$E$75:$E$77:$E$88:$E$90:$E$101:$E$103:$E$114,"PIP",L$38:L$49:L$51:L$62:L$64:L$75:L$77:L$88:L$90:L$101:L$103:L$114)</f>
        <v>9011.2522500000014</v>
      </c>
      <c r="M116" s="36">
        <f>SUMIF($E$38:$E$49:$E$51:$E$62:$E$64:$E$75:$E$77:$E$88:$E$90:$E$101:$E$103:$E$114,"PIP",M$38:M$49:M$51:M$62:M$64:M$75:M$77:M$88:M$90:M$101:M$103:M$114)</f>
        <v>9011.2522500000014</v>
      </c>
      <c r="N116" s="36">
        <f>SUMIF($E$38:$E$49:$E$51:$E$62:$E$64:$E$75:$E$77:$E$88:$E$90:$E$101:$E$103:$E$114,"PIP",N$38:N$49:N$51:N$62:N$64:N$75:N$77:N$88:N$90:N$101:N$103:N$114)</f>
        <v>9011.2522500000014</v>
      </c>
      <c r="O116" s="36">
        <f>SUMIF($E$38:$E$49:$E$51:$E$62:$E$64:$E$75:$E$77:$E$88:$E$90:$E$101:$E$103:$E$114,"PIP",O$38:O$49:O$51:O$62:O$64:O$75:O$77:O$88:O$90:O$101:O$103:O$114)</f>
        <v>0</v>
      </c>
      <c r="P116" s="36">
        <f>SUMIF($E$38:$E$49:$E$51:$E$62:$E$64:$E$75:$E$77:$E$88:$E$90:$E$101:$E$103:$E$114,"PIP",P$38:P$49:P$51:P$62:P$64:P$75:P$77:P$88:P$90:P$101:P$103:P$114)</f>
        <v>0</v>
      </c>
      <c r="Q116" s="36">
        <f>SUMIF($E$38:$E$49:$E$51:$E$62:$E$64:$E$75:$E$77:$E$88:$E$90:$E$101:$E$103:$E$114,"PIP",Q$38:Q$49:Q$51:Q$62:Q$64:Q$75:Q$77:Q$88:Q$90:Q$101:Q$103:Q$114)</f>
        <v>0</v>
      </c>
      <c r="R116" s="36">
        <f>SUMIF($E$38:$E$49:$E$51:$E$62:$E$64:$E$75:$E$77:$E$88:$E$90:$E$101:$E$103:$E$114,"PIP",R$38:R$49:R$51:R$62:R$64:R$75:R$77:R$88:R$90:R$101:R$103:R$114)</f>
        <v>0</v>
      </c>
      <c r="S116" s="36">
        <f>SUMIF($E$38:$E$49:$E$51:$E$62:$E$64:$E$75:$E$77:$E$88:$E$90:$E$101:$E$103:$E$114,"PIP",S$38:S$49:S$51:S$62:S$64:S$75:S$77:S$88:S$90:S$101:S$103:S$114)</f>
        <v>0</v>
      </c>
      <c r="T116" s="36">
        <f>SUMIF($E$38:$E$49:$E$51:$E$62:$E$64:$E$75:$E$77:$E$88:$E$90:$E$101:$E$103:$E$114,"PIP",T$38:T$49:T$51:T$62:T$64:T$75:T$77:T$88:T$90:T$101:T$103:T$114)</f>
        <v>0</v>
      </c>
      <c r="U116" s="36">
        <f>SUMIF($E$38:$E$49:$E$51:$E$62:$E$64:$E$75:$E$77:$E$88:$E$90:$E$101:$E$103:$E$114,"PIP",U$38:U$49:U$51:U$62:U$64:U$75:U$77:U$88:U$90:U$101:U$103:U$114)</f>
        <v>0</v>
      </c>
      <c r="V116" s="36">
        <f>SUMIF($E$38:$E$49:$E$51:$E$62:$E$64:$E$75:$E$77:$E$88:$E$90:$E$101:$E$103:$E$114,"PIP",V$38:V$49:V$51:V$62:V$64:V$75:V$77:V$88:V$90:V$101:V$103:V$114)</f>
        <v>0</v>
      </c>
      <c r="W116" s="36">
        <f>SUMIF($E$38:$E$49:$E$51:$E$62:$E$64:$E$75:$E$77:$E$88:$E$90:$E$101:$E$103:$E$114,"PIP",W$38:W$49:W$51:W$62:W$64:W$75:W$77:W$88:W$90:W$101:W$103:W$114)</f>
        <v>0</v>
      </c>
      <c r="X116" s="36">
        <f>SUMIF($E$38:$E$49:$E$51:$E$62:$E$64:$E$75:$E$77:$E$88:$E$90:$E$101:$E$103:$E$114,"PIP",X$38:X$49:X$51:X$62:X$64:X$75:X$77:X$88:X$90:X$101:X$103:X$114)</f>
        <v>0</v>
      </c>
      <c r="Y116" s="100">
        <f>SUMIF($E$38:$E$49:$E$51:$E$62:$E$64:$E$75:$E$77:$E$88:$E$90:$E$101:$E$103:$E$114,"PIP",Y$38:Y$49:Y$51:Y$62:Y$64:Y$75:Y$77:Y$88:Y$90:Y$101:Y$103:Y$114)</f>
        <v>0</v>
      </c>
    </row>
    <row r="117" spans="1:25" s="18" customFormat="1" ht="15.5" x14ac:dyDescent="0.35">
      <c r="A117" s="1"/>
      <c r="B117" s="145" t="s">
        <v>114</v>
      </c>
      <c r="C117" s="218"/>
      <c r="D117" s="219"/>
      <c r="E117" s="37"/>
      <c r="F117" s="38"/>
      <c r="G117" s="39"/>
      <c r="H117" s="39">
        <f>SUMIF($E$38:$E$49:$E$51:$E$62:$E$64:$E$75:$E$77:$E$88:$E$90:$E$101:$E$103:$E$114,"PCA",H$38:H$49:H$51:H$62:H$64:H$75:H$77:H$88:H$90:H$101:H$103:H$114)</f>
        <v>1</v>
      </c>
      <c r="I117" s="39">
        <f>SUMIF($E$38:$E$49:$E$51:$E$62:$E$64:$E$75:$E$77:$E$88:$E$90:$E$101:$E$103:$E$114,"PCA",I$38:I$49:I$51:I$62:I$64:I$75:I$77:I$88:I$90:I$101:I$103:I$114)</f>
        <v>601</v>
      </c>
      <c r="J117" s="39">
        <f>SUMIF($E$38:$E$49:$E$51:$E$62:$E$64:$E$75:$E$77:$E$88:$E$90:$E$101:$E$103:$E$114,"PCA",J$38:J$49:J$51:J$62:J$64:J$75:J$77:J$88:J$90:J$101:J$103:J$114)</f>
        <v>43.572499999999998</v>
      </c>
      <c r="K117" s="39">
        <f>SUMIF($E$38:$E$49:$E$51:$E$62:$E$64:$E$75:$E$77:$E$88:$E$90:$E$101:$E$103:$E$114,"PCA",K$38:K$49:K$51:K$62:K$64:K$75:K$77:K$88:K$90:K$101:K$103:K$114)</f>
        <v>32.228625000000001</v>
      </c>
      <c r="L117" s="39">
        <f>SUMIF($E$38:$E$49:$E$51:$E$62:$E$64:$E$75:$E$77:$E$88:$E$90:$E$101:$E$103:$E$114,"PCA",L$38:L$49:L$51:L$62:L$64:L$75:L$77:L$88:L$90:L$101:L$103:L$114)</f>
        <v>676.80112499999996</v>
      </c>
      <c r="M117" s="39">
        <f>SUMIF($E$38:$E$49:$E$51:$E$62:$E$64:$E$75:$E$77:$E$88:$E$90:$E$101:$E$103:$E$114,"PCA",M$38:M$49:M$51:M$62:M$64:M$75:M$77:M$88:M$90:M$101:M$103:M$114)</f>
        <v>676.80112499999996</v>
      </c>
      <c r="N117" s="39">
        <f>SUMIF($E$38:$E$49:$E$51:$E$62:$E$64:$E$75:$E$77:$E$88:$E$90:$E$101:$E$103:$E$114,"PCA",N$38:N$49:N$51:N$62:N$64:N$75:N$77:N$88:N$90:N$101:N$103:N$114)</f>
        <v>676.80112499999996</v>
      </c>
      <c r="O117" s="39">
        <f>SUMIF($E$38:$E$49:$E$51:$E$62:$E$64:$E$75:$E$77:$E$88:$E$90:$E$101:$E$103:$E$114,"PCA",O$38:O$49:O$51:O$62:O$64:O$75:O$77:O$88:O$90:O$101:O$103:O$114)</f>
        <v>0</v>
      </c>
      <c r="P117" s="39">
        <f>SUMIF($E$38:$E$49:$E$51:$E$62:$E$64:$E$75:$E$77:$E$88:$E$90:$E$101:$E$103:$E$114,"PCA",P$38:P$49:P$51:P$62:P$64:P$75:P$77:P$88:P$90:P$101:P$103:P$114)</f>
        <v>0</v>
      </c>
      <c r="Q117" s="39">
        <f>SUMIF($E$38:$E$49:$E$51:$E$62:$E$64:$E$75:$E$77:$E$88:$E$90:$E$101:$E$103:$E$114,"PCA",Q$38:Q$49:Q$51:Q$62:Q$64:Q$75:Q$77:Q$88:Q$90:Q$101:Q$103:Q$114)</f>
        <v>0</v>
      </c>
      <c r="R117" s="39">
        <f>SUMIF($E$38:$E$49:$E$51:$E$62:$E$64:$E$75:$E$77:$E$88:$E$90:$E$101:$E$103:$E$114,"PCA",R$38:R$49:R$51:R$62:R$64:R$75:R$77:R$88:R$90:R$101:R$103:R$114)</f>
        <v>0</v>
      </c>
      <c r="S117" s="39">
        <f>SUMIF($E$38:$E$49:$E$51:$E$62:$E$64:$E$75:$E$77:$E$88:$E$90:$E$101:$E$103:$E$114,"PCA",S$38:S$49:S$51:S$62:S$64:S$75:S$77:S$88:S$90:S$101:S$103:S$114)</f>
        <v>0</v>
      </c>
      <c r="T117" s="39">
        <f>SUMIF($E$38:$E$49:$E$51:$E$62:$E$64:$E$75:$E$77:$E$88:$E$90:$E$101:$E$103:$E$114,"PCA",T$38:T$49:T$51:T$62:T$64:T$75:T$77:T$88:T$90:T$101:T$103:T$114)</f>
        <v>0</v>
      </c>
      <c r="U117" s="39">
        <f>SUMIF($E$38:$E$49:$E$51:$E$62:$E$64:$E$75:$E$77:$E$88:$E$90:$E$101:$E$103:$E$114,"PCA",U$38:U$49:U$51:U$62:U$64:U$75:U$77:U$88:U$90:U$101:U$103:U$114)</f>
        <v>0</v>
      </c>
      <c r="V117" s="39">
        <f>SUMIF($E$38:$E$49:$E$51:$E$62:$E$64:$E$75:$E$77:$E$88:$E$90:$E$101:$E$103:$E$114,"PCA",V$38:V$49:V$51:V$62:V$64:V$75:V$77:V$88:V$90:V$101:V$103:V$114)</f>
        <v>0</v>
      </c>
      <c r="W117" s="39">
        <f>SUMIF($E$38:$E$49:$E$51:$E$62:$E$64:$E$75:$E$77:$E$88:$E$90:$E$101:$E$103:$E$114,"PCA",W$38:W$49:W$51:W$62:W$64:W$75:W$77:W$88:W$90:W$101:W$103:W$114)</f>
        <v>0</v>
      </c>
      <c r="X117" s="39">
        <f>SUMIF($E$38:$E$49:$E$51:$E$62:$E$64:$E$75:$E$77:$E$88:$E$90:$E$101:$E$103:$E$114,"PCA",X$38:X$49:X$51:X$62:X$64:X$75:X$77:X$88:X$90:X$101:X$103:X$114)</f>
        <v>0</v>
      </c>
      <c r="Y117" s="101">
        <f>SUMIF($E$38:$E$49:$E$51:$E$62:$E$64:$E$75:$E$77:$E$88:$E$90:$E$101:$E$103:$E$114,"PCA",Y$38:Y$49:Y$51:Y$62:Y$64:Y$75:Y$77:Y$88:Y$90:Y$101:Y$103:Y$114)</f>
        <v>0</v>
      </c>
    </row>
    <row r="118" spans="1:25" s="18" customFormat="1" ht="15.5" x14ac:dyDescent="0.35">
      <c r="A118" s="1"/>
      <c r="B118" s="148" t="s">
        <v>115</v>
      </c>
      <c r="C118" s="203"/>
      <c r="D118" s="204"/>
      <c r="E118" s="40"/>
      <c r="F118" s="41"/>
      <c r="G118" s="42"/>
      <c r="H118" s="42">
        <f>SUMIF($E$38:$E$49:$E$51:$E$62:$E$64:$E$75:$E$77:$E$88:$E$90:$E$101:$E$103:$E$114,"Other",H$38:H$49:H$51:H$62:H$64:H$75:H$77:H$88:H$90:H$101:H$103:H$114)</f>
        <v>1</v>
      </c>
      <c r="I118" s="42">
        <f>SUMIF($E$38:$E$49:$E$51:$E$62:$E$64:$E$75:$E$77:$E$88:$E$90:$E$101:$E$103:$E$114,"Other",I$38:I$49:I$51:I$62:I$64:I$75:I$77:I$88:I$90:I$101:I$103:I$114)</f>
        <v>6001</v>
      </c>
      <c r="J118" s="42">
        <f>SUMIF($E$38:$E$49:$E$51:$E$62:$E$64:$E$75:$E$77:$E$88:$E$90:$E$101:$E$103:$E$114,"Other",J$38:J$49:J$51:J$62:J$64:J$75:J$77:J$88:J$90:J$101:J$103:J$114)</f>
        <v>435.07249999999999</v>
      </c>
      <c r="K118" s="42">
        <f>SUMIF($E$38:$E$49:$E$51:$E$62:$E$64:$E$75:$E$77:$E$88:$E$90:$E$101:$E$103:$E$114,"Other",K$38:K$49:K$51:K$62:K$64:K$75:K$77:K$88:K$90:K$101:K$103:K$114)</f>
        <v>321.80362500000001</v>
      </c>
      <c r="L118" s="42">
        <f>SUMIF($E$38:$E$49:$E$51:$E$62:$E$64:$E$75:$E$77:$E$88:$E$90:$E$101:$E$103:$E$114,"Other",L$38:L$49:L$51:L$62:L$64:L$75:L$77:L$88:L$90:L$101:L$103:L$114)</f>
        <v>6757.8761250000007</v>
      </c>
      <c r="M118" s="42">
        <f>SUMIF($E$38:$E$49:$E$51:$E$62:$E$64:$E$75:$E$77:$E$88:$E$90:$E$101:$E$103:$E$114,"Other",M$38:M$49:M$51:M$62:M$64:M$75:M$77:M$88:M$90:M$101:M$103:M$114)</f>
        <v>6757.8761250000007</v>
      </c>
      <c r="N118" s="42">
        <f>SUMIF($E$38:$E$49:$E$51:$E$62:$E$64:$E$75:$E$77:$E$88:$E$90:$E$101:$E$103:$E$114,"Other",N$38:N$49:N$51:N$62:N$64:N$75:N$77:N$88:N$90:N$101:N$103:N$114)</f>
        <v>6757.8761250000007</v>
      </c>
      <c r="O118" s="42">
        <f>SUMIF($E$38:$E$49:$E$51:$E$62:$E$64:$E$75:$E$77:$E$88:$E$90:$E$101:$E$103:$E$114,"Other",O$38:O$49:O$51:O$62:O$64:O$75:O$77:O$88:O$90:O$101:O$103:O$114)</f>
        <v>0</v>
      </c>
      <c r="P118" s="42">
        <f>SUMIF($E$38:$E$49:$E$51:$E$62:$E$64:$E$75:$E$77:$E$88:$E$90:$E$101:$E$103:$E$114,"Other",P$38:P$49:P$51:P$62:P$64:P$75:P$77:P$88:P$90:P$101:P$103:P$114)</f>
        <v>0</v>
      </c>
      <c r="Q118" s="42">
        <f>SUMIF($E$38:$E$49:$E$51:$E$62:$E$64:$E$75:$E$77:$E$88:$E$90:$E$101:$E$103:$E$114,"Other",Q$38:Q$49:Q$51:Q$62:Q$64:Q$75:Q$77:Q$88:Q$90:Q$101:Q$103:Q$114)</f>
        <v>0</v>
      </c>
      <c r="R118" s="42">
        <f>SUMIF($E$38:$E$49:$E$51:$E$62:$E$64:$E$75:$E$77:$E$88:$E$90:$E$101:$E$103:$E$114,"Other",R$38:R$49:R$51:R$62:R$64:R$75:R$77:R$88:R$90:R$101:R$103:R$114)</f>
        <v>0</v>
      </c>
      <c r="S118" s="42">
        <f>SUMIF($E$38:$E$49:$E$51:$E$62:$E$64:$E$75:$E$77:$E$88:$E$90:$E$101:$E$103:$E$114,"Other",S$38:S$49:S$51:S$62:S$64:S$75:S$77:S$88:S$90:S$101:S$103:S$114)</f>
        <v>0</v>
      </c>
      <c r="T118" s="42">
        <f>SUMIF($E$38:$E$49:$E$51:$E$62:$E$64:$E$75:$E$77:$E$88:$E$90:$E$101:$E$103:$E$114,"Other",T$38:T$49:T$51:T$62:T$64:T$75:T$77:T$88:T$90:T$101:T$103:T$114)</f>
        <v>0</v>
      </c>
      <c r="U118" s="42">
        <f>SUMIF($E$38:$E$49:$E$51:$E$62:$E$64:$E$75:$E$77:$E$88:$E$90:$E$101:$E$103:$E$114,"Other",U$38:U$49:U$51:U$62:U$64:U$75:U$77:U$88:U$90:U$101:U$103:U$114)</f>
        <v>0</v>
      </c>
      <c r="V118" s="42">
        <f>SUMIF($E$38:$E$49:$E$51:$E$62:$E$64:$E$75:$E$77:$E$88:$E$90:$E$101:$E$103:$E$114,"Other",V$38:V$49:V$51:V$62:V$64:V$75:V$77:V$88:V$90:V$101:V$103:V$114)</f>
        <v>0</v>
      </c>
      <c r="W118" s="42">
        <f>SUMIF($E$38:$E$49:$E$51:$E$62:$E$64:$E$75:$E$77:$E$88:$E$90:$E$101:$E$103:$E$114,"Other",W$38:W$49:W$51:W$62:W$64:W$75:W$77:W$88:W$90:W$101:W$103:W$114)</f>
        <v>0</v>
      </c>
      <c r="X118" s="42">
        <f>SUMIF($E$38:$E$49:$E$51:$E$62:$E$64:$E$75:$E$77:$E$88:$E$90:$E$101:$E$103:$E$114,"Other",X$38:X$49:X$51:X$62:X$64:X$75:X$77:X$88:X$90:X$101:X$103:X$114)</f>
        <v>0</v>
      </c>
      <c r="Y118" s="102">
        <f>SUMIF($E$38:$E$49:$E$51:$E$62:$E$64:$E$75:$E$77:$E$88:$E$90:$E$101:$E$103:$E$114,"Other",Y$38:Y$49:Y$51:Y$62:Y$64:Y$75:Y$77:Y$88:Y$90:Y$101:Y$103:Y$114)</f>
        <v>0</v>
      </c>
    </row>
    <row r="119" spans="1:25" s="18" customFormat="1" ht="15.5" x14ac:dyDescent="0.35">
      <c r="A119" s="1"/>
      <c r="B119" s="151" t="s">
        <v>116</v>
      </c>
      <c r="C119" s="214"/>
      <c r="D119" s="215"/>
      <c r="E119" s="13"/>
      <c r="F119" s="14"/>
      <c r="G119" s="15"/>
      <c r="H119" s="15">
        <f t="shared" ref="H119:Y119" si="75">H37+H50+H63+H76+H89+H102</f>
        <v>6</v>
      </c>
      <c r="I119" s="15">
        <f t="shared" si="75"/>
        <v>28356</v>
      </c>
      <c r="J119" s="15">
        <f t="shared" si="75"/>
        <v>2055.81</v>
      </c>
      <c r="K119" s="15">
        <f t="shared" si="75"/>
        <v>1520.5905</v>
      </c>
      <c r="L119" s="15">
        <f t="shared" si="75"/>
        <v>31932.400499999996</v>
      </c>
      <c r="M119" s="15">
        <f t="shared" si="75"/>
        <v>31932.400499999996</v>
      </c>
      <c r="N119" s="15">
        <f t="shared" si="75"/>
        <v>31932.400499999996</v>
      </c>
      <c r="O119" s="15">
        <f t="shared" si="75"/>
        <v>0</v>
      </c>
      <c r="P119" s="15">
        <f t="shared" si="75"/>
        <v>0</v>
      </c>
      <c r="Q119" s="15">
        <f t="shared" si="75"/>
        <v>0</v>
      </c>
      <c r="R119" s="15">
        <f t="shared" si="75"/>
        <v>0</v>
      </c>
      <c r="S119" s="15">
        <f t="shared" si="75"/>
        <v>0</v>
      </c>
      <c r="T119" s="15">
        <f t="shared" si="75"/>
        <v>0</v>
      </c>
      <c r="U119" s="15">
        <f t="shared" si="75"/>
        <v>0</v>
      </c>
      <c r="V119" s="15">
        <f t="shared" si="75"/>
        <v>0</v>
      </c>
      <c r="W119" s="15">
        <f t="shared" si="75"/>
        <v>0</v>
      </c>
      <c r="X119" s="15">
        <f t="shared" si="75"/>
        <v>0</v>
      </c>
      <c r="Y119" s="103">
        <f t="shared" si="75"/>
        <v>0</v>
      </c>
    </row>
    <row r="120" spans="1:25" s="18" customFormat="1" ht="15.5" x14ac:dyDescent="0.35">
      <c r="A120" s="1"/>
      <c r="B120" s="104" t="s">
        <v>104</v>
      </c>
      <c r="C120" s="43"/>
      <c r="D120" s="44" t="s">
        <v>134</v>
      </c>
      <c r="E120" s="45">
        <v>0.1</v>
      </c>
      <c r="F120" s="208" t="str">
        <f>IF(D120="Method - $ per Key","Per Key",IF(D19="Method - $ Allowance","Total",""))</f>
        <v/>
      </c>
      <c r="G120" s="209"/>
      <c r="H120" s="46" t="s">
        <v>9</v>
      </c>
      <c r="I120" s="205"/>
      <c r="J120" s="206"/>
      <c r="K120" s="207"/>
      <c r="L120" s="47">
        <f>$E$120*L119</f>
        <v>3193.2400499999999</v>
      </c>
      <c r="M120" s="47">
        <f t="shared" ref="M120:Y120" si="76">$E$120*M119</f>
        <v>3193.2400499999999</v>
      </c>
      <c r="N120" s="62">
        <f t="shared" si="76"/>
        <v>3193.2400499999999</v>
      </c>
      <c r="O120" s="62">
        <f t="shared" si="76"/>
        <v>0</v>
      </c>
      <c r="P120" s="62">
        <f t="shared" si="76"/>
        <v>0</v>
      </c>
      <c r="Q120" s="62">
        <f t="shared" si="76"/>
        <v>0</v>
      </c>
      <c r="R120" s="62">
        <f t="shared" si="76"/>
        <v>0</v>
      </c>
      <c r="S120" s="62">
        <f t="shared" si="76"/>
        <v>0</v>
      </c>
      <c r="T120" s="62">
        <f t="shared" si="76"/>
        <v>0</v>
      </c>
      <c r="U120" s="62">
        <f t="shared" si="76"/>
        <v>0</v>
      </c>
      <c r="V120" s="62">
        <f t="shared" si="76"/>
        <v>0</v>
      </c>
      <c r="W120" s="62">
        <f t="shared" si="76"/>
        <v>0</v>
      </c>
      <c r="X120" s="62">
        <f t="shared" si="76"/>
        <v>0</v>
      </c>
      <c r="Y120" s="105">
        <f t="shared" si="76"/>
        <v>0</v>
      </c>
    </row>
    <row r="121" spans="1:25" s="18" customFormat="1" ht="16" thickBot="1" x14ac:dyDescent="0.4">
      <c r="A121" s="1"/>
      <c r="B121" s="142" t="s">
        <v>109</v>
      </c>
      <c r="C121" s="143"/>
      <c r="D121" s="144"/>
      <c r="E121" s="106"/>
      <c r="F121" s="210"/>
      <c r="G121" s="211"/>
      <c r="H121" s="16">
        <f>H119</f>
        <v>6</v>
      </c>
      <c r="I121" s="107">
        <f>I119</f>
        <v>28356</v>
      </c>
      <c r="J121" s="107">
        <f>J119</f>
        <v>2055.81</v>
      </c>
      <c r="K121" s="107">
        <f>K119</f>
        <v>1520.5905</v>
      </c>
      <c r="L121" s="107">
        <f>SUM(L119:L120)</f>
        <v>35125.640549999996</v>
      </c>
      <c r="M121" s="107">
        <f t="shared" ref="M121:Y121" si="77">SUM(M119:M120)</f>
        <v>35125.640549999996</v>
      </c>
      <c r="N121" s="16">
        <f t="shared" si="77"/>
        <v>35125.640549999996</v>
      </c>
      <c r="O121" s="16">
        <f t="shared" si="77"/>
        <v>0</v>
      </c>
      <c r="P121" s="16">
        <f t="shared" si="77"/>
        <v>0</v>
      </c>
      <c r="Q121" s="16">
        <f t="shared" si="77"/>
        <v>0</v>
      </c>
      <c r="R121" s="16">
        <f t="shared" si="77"/>
        <v>0</v>
      </c>
      <c r="S121" s="16">
        <f t="shared" si="77"/>
        <v>0</v>
      </c>
      <c r="T121" s="16">
        <f t="shared" si="77"/>
        <v>0</v>
      </c>
      <c r="U121" s="16">
        <f t="shared" si="77"/>
        <v>0</v>
      </c>
      <c r="V121" s="16">
        <f t="shared" si="77"/>
        <v>0</v>
      </c>
      <c r="W121" s="16">
        <f t="shared" si="77"/>
        <v>0</v>
      </c>
      <c r="X121" s="16">
        <f t="shared" si="77"/>
        <v>0</v>
      </c>
      <c r="Y121" s="108">
        <f t="shared" si="77"/>
        <v>0</v>
      </c>
    </row>
    <row r="122" spans="1:25" s="18" customFormat="1" ht="14.25" customHeight="1" x14ac:dyDescent="0.35">
      <c r="A122" s="1"/>
      <c r="B122" s="25"/>
      <c r="C122" s="25"/>
      <c r="D122" s="25"/>
      <c r="E122" s="25"/>
      <c r="F122" s="19"/>
      <c r="G122" s="20"/>
      <c r="H122" s="26"/>
      <c r="I122" s="27"/>
      <c r="J122" s="27"/>
      <c r="K122" s="27"/>
      <c r="L122" s="27"/>
      <c r="M122" s="27"/>
      <c r="N122" s="27"/>
      <c r="O122" s="27"/>
      <c r="P122" s="27"/>
      <c r="Q122" s="27"/>
      <c r="R122" s="27"/>
      <c r="S122" s="27"/>
      <c r="T122" s="27"/>
      <c r="U122" s="27"/>
      <c r="V122" s="27"/>
      <c r="W122" s="27"/>
      <c r="X122" s="27"/>
      <c r="Y122" s="27"/>
    </row>
    <row r="123" spans="1:25" s="18" customFormat="1" ht="14.25" customHeight="1" x14ac:dyDescent="0.35">
      <c r="A123" s="1"/>
      <c r="F123" s="19"/>
      <c r="G123" s="20"/>
      <c r="H123" s="26"/>
      <c r="I123" s="27"/>
      <c r="J123" s="27"/>
      <c r="K123" s="27"/>
      <c r="L123" s="27"/>
      <c r="M123" s="27"/>
      <c r="N123" s="27"/>
      <c r="O123" s="27"/>
      <c r="P123" s="27"/>
      <c r="Q123" s="27"/>
      <c r="R123" s="27"/>
      <c r="S123" s="27"/>
      <c r="T123" s="27"/>
      <c r="U123" s="27"/>
      <c r="V123" s="27"/>
      <c r="W123" s="27"/>
      <c r="X123" s="27"/>
      <c r="Y123" s="27"/>
    </row>
    <row r="124" spans="1:25" s="18" customFormat="1" ht="14.25" customHeight="1" x14ac:dyDescent="0.35">
      <c r="A124" s="1"/>
      <c r="F124" s="19"/>
      <c r="G124" s="20"/>
      <c r="H124" s="26"/>
      <c r="I124" s="27"/>
      <c r="J124" s="27"/>
      <c r="K124" s="27"/>
      <c r="L124" s="27"/>
      <c r="M124" s="27"/>
      <c r="N124" s="27"/>
      <c r="O124" s="27"/>
      <c r="P124" s="27"/>
      <c r="Q124" s="27"/>
      <c r="R124" s="27"/>
      <c r="S124" s="27"/>
      <c r="T124" s="27"/>
      <c r="U124" s="27"/>
      <c r="V124" s="27"/>
      <c r="W124" s="27"/>
      <c r="X124" s="27"/>
      <c r="Y124" s="27"/>
    </row>
    <row r="125" spans="1:25" s="18" customFormat="1" ht="14.25" customHeight="1" x14ac:dyDescent="0.35">
      <c r="A125" s="1"/>
      <c r="F125" s="19"/>
      <c r="G125" s="20"/>
      <c r="H125" s="26"/>
      <c r="I125" s="27"/>
      <c r="J125" s="27"/>
      <c r="K125" s="27"/>
      <c r="L125" s="27"/>
      <c r="M125" s="27"/>
      <c r="N125" s="27"/>
      <c r="O125" s="27"/>
      <c r="P125" s="27"/>
      <c r="Q125" s="27"/>
      <c r="R125" s="27"/>
      <c r="S125" s="27"/>
      <c r="T125" s="27"/>
      <c r="U125" s="27"/>
      <c r="V125" s="27"/>
      <c r="W125" s="27"/>
      <c r="X125" s="27"/>
      <c r="Y125" s="27"/>
    </row>
    <row r="126" spans="1:25" s="18" customFormat="1" ht="14.25" customHeight="1" x14ac:dyDescent="0.35">
      <c r="A126" s="1"/>
      <c r="F126" s="19"/>
      <c r="G126" s="20"/>
      <c r="H126" s="26"/>
      <c r="I126" s="27"/>
      <c r="J126" s="27"/>
      <c r="K126" s="27"/>
      <c r="L126" s="27"/>
      <c r="M126" s="27"/>
      <c r="N126" s="27"/>
      <c r="O126" s="27"/>
      <c r="P126" s="27"/>
      <c r="Q126" s="27"/>
      <c r="R126" s="27"/>
      <c r="S126" s="27"/>
      <c r="T126" s="27"/>
      <c r="U126" s="27"/>
      <c r="V126" s="27"/>
      <c r="W126" s="27"/>
      <c r="X126" s="27"/>
      <c r="Y126" s="27"/>
    </row>
    <row r="127" spans="1:25" s="18" customFormat="1" ht="14.25" customHeight="1" x14ac:dyDescent="0.35">
      <c r="A127" s="1"/>
      <c r="F127" s="19"/>
      <c r="G127" s="20"/>
      <c r="H127" s="26"/>
      <c r="I127" s="27"/>
      <c r="J127" s="27"/>
      <c r="K127" s="27"/>
      <c r="L127" s="27"/>
      <c r="M127" s="27"/>
      <c r="N127" s="27"/>
      <c r="O127" s="27"/>
      <c r="P127" s="27"/>
      <c r="Q127" s="27"/>
      <c r="R127" s="27"/>
      <c r="S127" s="27"/>
      <c r="T127" s="27"/>
      <c r="U127" s="27"/>
      <c r="V127" s="27"/>
      <c r="W127" s="27"/>
      <c r="X127" s="27"/>
      <c r="Y127" s="27"/>
    </row>
    <row r="128" spans="1:25" s="18" customFormat="1" ht="14.25" customHeight="1" x14ac:dyDescent="0.35">
      <c r="A128" s="1"/>
      <c r="F128" s="19"/>
      <c r="G128" s="20"/>
      <c r="H128" s="26"/>
      <c r="I128" s="27"/>
      <c r="J128" s="27"/>
      <c r="K128" s="27"/>
      <c r="L128" s="27"/>
      <c r="M128" s="27"/>
      <c r="N128" s="27"/>
      <c r="O128" s="27"/>
      <c r="P128" s="27"/>
      <c r="Q128" s="27"/>
      <c r="R128" s="27"/>
      <c r="S128" s="27"/>
      <c r="T128" s="27"/>
      <c r="U128" s="27"/>
      <c r="V128" s="27"/>
      <c r="W128" s="27"/>
      <c r="X128" s="27"/>
      <c r="Y128" s="27"/>
    </row>
    <row r="129" spans="1:25" s="18" customFormat="1" ht="14.25" customHeight="1" x14ac:dyDescent="0.35">
      <c r="A129" s="1"/>
      <c r="F129" s="19"/>
      <c r="G129" s="20"/>
      <c r="H129" s="26"/>
      <c r="I129" s="27"/>
      <c r="J129" s="27"/>
      <c r="K129" s="27"/>
      <c r="L129" s="27"/>
      <c r="M129" s="27"/>
      <c r="N129" s="27"/>
      <c r="O129" s="27"/>
      <c r="P129" s="27"/>
      <c r="Q129" s="27"/>
      <c r="R129" s="27"/>
      <c r="S129" s="27"/>
      <c r="T129" s="27"/>
      <c r="U129" s="27"/>
      <c r="V129" s="27"/>
      <c r="W129" s="27"/>
      <c r="X129" s="27"/>
      <c r="Y129" s="27"/>
    </row>
    <row r="130" spans="1:25" s="18" customFormat="1" ht="14.25" customHeight="1" x14ac:dyDescent="0.35">
      <c r="A130" s="1"/>
      <c r="F130" s="19"/>
      <c r="G130" s="20"/>
      <c r="H130" s="26"/>
      <c r="I130" s="26"/>
      <c r="J130" s="26"/>
      <c r="K130" s="26"/>
      <c r="L130" s="26"/>
      <c r="M130" s="26"/>
      <c r="N130" s="26"/>
      <c r="O130" s="26"/>
      <c r="P130" s="26"/>
      <c r="Q130" s="26"/>
      <c r="R130" s="26"/>
      <c r="S130" s="26"/>
      <c r="T130" s="26"/>
      <c r="U130" s="26"/>
      <c r="V130" s="26"/>
      <c r="W130" s="26"/>
      <c r="X130" s="26"/>
      <c r="Y130" s="26"/>
    </row>
    <row r="131" spans="1:25" s="18" customFormat="1" ht="14.25" customHeight="1" x14ac:dyDescent="0.35">
      <c r="F131" s="19"/>
      <c r="G131" s="20"/>
      <c r="H131" s="26"/>
      <c r="I131" s="26"/>
      <c r="J131" s="26"/>
      <c r="K131" s="26"/>
      <c r="L131" s="26"/>
      <c r="M131" s="26"/>
      <c r="N131" s="26"/>
      <c r="O131" s="26"/>
      <c r="P131" s="26"/>
      <c r="Q131" s="26"/>
      <c r="R131" s="26"/>
      <c r="S131" s="26"/>
      <c r="T131" s="26"/>
      <c r="U131" s="26"/>
      <c r="V131" s="26"/>
      <c r="W131" s="26"/>
      <c r="X131" s="26"/>
      <c r="Y131" s="26"/>
    </row>
    <row r="132" spans="1:25" s="18" customFormat="1" ht="14.25" customHeight="1" x14ac:dyDescent="0.35">
      <c r="F132" s="19"/>
      <c r="G132" s="20"/>
      <c r="H132" s="26"/>
      <c r="I132" s="26"/>
      <c r="J132" s="26"/>
      <c r="K132" s="26"/>
      <c r="L132" s="26"/>
      <c r="M132" s="26"/>
      <c r="N132" s="26"/>
      <c r="O132" s="26"/>
      <c r="P132" s="26"/>
      <c r="Q132" s="26"/>
      <c r="R132" s="26"/>
      <c r="S132" s="26"/>
      <c r="T132" s="26"/>
      <c r="U132" s="26"/>
      <c r="V132" s="26"/>
      <c r="W132" s="26"/>
      <c r="X132" s="26"/>
      <c r="Y132" s="26"/>
    </row>
    <row r="133" spans="1:25" s="18" customFormat="1" ht="14.25" customHeight="1" x14ac:dyDescent="0.35">
      <c r="F133" s="19"/>
      <c r="G133" s="20"/>
      <c r="H133" s="26"/>
      <c r="I133" s="26"/>
      <c r="J133" s="26"/>
      <c r="K133" s="26"/>
      <c r="L133" s="26"/>
      <c r="M133" s="26"/>
      <c r="N133" s="26"/>
      <c r="O133" s="26"/>
      <c r="P133" s="26"/>
      <c r="Q133" s="26"/>
      <c r="R133" s="26"/>
      <c r="S133" s="26"/>
      <c r="T133" s="26"/>
      <c r="U133" s="26"/>
      <c r="V133" s="26"/>
      <c r="W133" s="26"/>
      <c r="X133" s="26"/>
      <c r="Y133" s="26"/>
    </row>
    <row r="134" spans="1:25" s="18" customFormat="1" ht="14.25" customHeight="1" x14ac:dyDescent="0.35">
      <c r="F134" s="19"/>
      <c r="G134" s="20"/>
    </row>
    <row r="135" spans="1:25" s="18" customFormat="1" ht="14.25" customHeight="1" x14ac:dyDescent="0.35">
      <c r="F135" s="19"/>
      <c r="G135" s="20"/>
    </row>
    <row r="136" spans="1:25" s="18" customFormat="1" ht="14.25" customHeight="1" x14ac:dyDescent="0.35">
      <c r="F136" s="19"/>
      <c r="G136" s="20"/>
    </row>
    <row r="137" spans="1:25" s="18" customFormat="1" ht="14.25" customHeight="1" x14ac:dyDescent="0.35">
      <c r="F137" s="19"/>
      <c r="G137" s="20"/>
    </row>
    <row r="138" spans="1:25" s="18" customFormat="1" ht="14.25" customHeight="1" x14ac:dyDescent="0.35">
      <c r="F138" s="19"/>
      <c r="G138" s="20"/>
    </row>
    <row r="139" spans="1:25" s="18" customFormat="1" ht="14.25" customHeight="1" x14ac:dyDescent="0.35">
      <c r="F139" s="19"/>
      <c r="G139" s="20"/>
    </row>
    <row r="140" spans="1:25" s="18" customFormat="1" ht="14.25" customHeight="1" x14ac:dyDescent="0.35">
      <c r="F140" s="19"/>
      <c r="G140" s="20"/>
    </row>
    <row r="141" spans="1:25" s="18" customFormat="1" ht="14.25" customHeight="1" x14ac:dyDescent="0.35">
      <c r="F141" s="19"/>
      <c r="G141" s="20"/>
    </row>
    <row r="142" spans="1:25" s="18" customFormat="1" ht="14.25" customHeight="1" x14ac:dyDescent="0.35">
      <c r="F142" s="19"/>
      <c r="G142" s="20"/>
    </row>
    <row r="143" spans="1:25" s="18" customFormat="1" ht="14.25" customHeight="1" x14ac:dyDescent="0.35">
      <c r="F143" s="19"/>
      <c r="G143" s="20"/>
    </row>
    <row r="144" spans="1:25" s="18" customFormat="1" ht="14.25" customHeight="1" x14ac:dyDescent="0.35">
      <c r="F144" s="19"/>
      <c r="G144" s="20"/>
    </row>
    <row r="145" spans="6:7" s="18" customFormat="1" ht="14.25" customHeight="1" x14ac:dyDescent="0.35">
      <c r="F145" s="19"/>
      <c r="G145" s="20"/>
    </row>
    <row r="146" spans="6:7" s="18" customFormat="1" ht="14.25" customHeight="1" x14ac:dyDescent="0.35">
      <c r="F146" s="19"/>
      <c r="G146" s="20"/>
    </row>
    <row r="147" spans="6:7" s="18" customFormat="1" ht="14.25" customHeight="1" x14ac:dyDescent="0.35">
      <c r="F147" s="19"/>
      <c r="G147" s="20"/>
    </row>
    <row r="148" spans="6:7" s="18" customFormat="1" ht="14.25" customHeight="1" x14ac:dyDescent="0.35">
      <c r="F148" s="19"/>
      <c r="G148" s="20"/>
    </row>
    <row r="149" spans="6:7" s="18" customFormat="1" ht="14.25" customHeight="1" x14ac:dyDescent="0.35">
      <c r="F149" s="19"/>
      <c r="G149" s="20"/>
    </row>
    <row r="150" spans="6:7" s="18" customFormat="1" ht="14.25" customHeight="1" x14ac:dyDescent="0.35">
      <c r="F150" s="19"/>
      <c r="G150" s="20"/>
    </row>
    <row r="151" spans="6:7" s="18" customFormat="1" ht="14.25" customHeight="1" x14ac:dyDescent="0.35">
      <c r="F151" s="19"/>
      <c r="G151" s="20"/>
    </row>
    <row r="152" spans="6:7" s="18" customFormat="1" ht="14.25" customHeight="1" x14ac:dyDescent="0.35">
      <c r="F152" s="19"/>
      <c r="G152" s="20"/>
    </row>
    <row r="153" spans="6:7" s="18" customFormat="1" ht="14.25" customHeight="1" x14ac:dyDescent="0.35">
      <c r="F153" s="19"/>
      <c r="G153" s="20"/>
    </row>
    <row r="154" spans="6:7" s="18" customFormat="1" ht="14.25" customHeight="1" x14ac:dyDescent="0.35">
      <c r="F154" s="19"/>
      <c r="G154" s="20"/>
    </row>
    <row r="155" spans="6:7" s="18" customFormat="1" ht="14.25" customHeight="1" x14ac:dyDescent="0.35">
      <c r="F155" s="19"/>
      <c r="G155" s="20"/>
    </row>
    <row r="156" spans="6:7" s="18" customFormat="1" ht="14.25" customHeight="1" x14ac:dyDescent="0.35">
      <c r="F156" s="19"/>
      <c r="G156" s="20"/>
    </row>
    <row r="157" spans="6:7" s="18" customFormat="1" ht="14.25" customHeight="1" x14ac:dyDescent="0.35">
      <c r="F157" s="19"/>
      <c r="G157" s="20"/>
    </row>
    <row r="158" spans="6:7" s="18" customFormat="1" ht="14.25" customHeight="1" x14ac:dyDescent="0.35">
      <c r="F158" s="19"/>
      <c r="G158" s="20"/>
    </row>
    <row r="159" spans="6:7" s="18" customFormat="1" ht="14.25" customHeight="1" x14ac:dyDescent="0.35">
      <c r="F159" s="19"/>
      <c r="G159" s="20"/>
    </row>
    <row r="160" spans="6:7" s="18" customFormat="1" ht="14.25" customHeight="1" x14ac:dyDescent="0.35">
      <c r="F160" s="19"/>
      <c r="G160" s="20"/>
    </row>
    <row r="161" spans="6:7" s="18" customFormat="1" ht="14.25" customHeight="1" x14ac:dyDescent="0.35">
      <c r="F161" s="19"/>
      <c r="G161" s="20"/>
    </row>
    <row r="162" spans="6:7" s="18" customFormat="1" ht="14.25" customHeight="1" x14ac:dyDescent="0.35">
      <c r="F162" s="19"/>
      <c r="G162" s="20"/>
    </row>
    <row r="163" spans="6:7" s="18" customFormat="1" ht="14.25" customHeight="1" x14ac:dyDescent="0.35">
      <c r="F163" s="19"/>
      <c r="G163" s="20"/>
    </row>
    <row r="164" spans="6:7" s="18" customFormat="1" ht="14.25" customHeight="1" x14ac:dyDescent="0.35">
      <c r="F164" s="19"/>
      <c r="G164" s="20"/>
    </row>
    <row r="165" spans="6:7" s="18" customFormat="1" ht="14.25" customHeight="1" x14ac:dyDescent="0.35">
      <c r="F165" s="19"/>
      <c r="G165" s="20"/>
    </row>
    <row r="166" spans="6:7" s="18" customFormat="1" ht="14.25" customHeight="1" x14ac:dyDescent="0.35">
      <c r="F166" s="19"/>
      <c r="G166" s="20"/>
    </row>
    <row r="167" spans="6:7" s="18" customFormat="1" ht="14.25" customHeight="1" x14ac:dyDescent="0.35">
      <c r="F167" s="19"/>
      <c r="G167" s="20"/>
    </row>
    <row r="168" spans="6:7" s="18" customFormat="1" ht="14.25" customHeight="1" x14ac:dyDescent="0.35">
      <c r="F168" s="19"/>
      <c r="G168" s="20"/>
    </row>
    <row r="169" spans="6:7" s="18" customFormat="1" ht="14.25" customHeight="1" x14ac:dyDescent="0.35">
      <c r="F169" s="19"/>
      <c r="G169" s="20"/>
    </row>
    <row r="170" spans="6:7" s="18" customFormat="1" ht="14.25" customHeight="1" x14ac:dyDescent="0.35">
      <c r="F170" s="19"/>
      <c r="G170" s="20"/>
    </row>
    <row r="171" spans="6:7" s="18" customFormat="1" ht="14.25" customHeight="1" x14ac:dyDescent="0.35">
      <c r="F171" s="19"/>
      <c r="G171" s="20"/>
    </row>
    <row r="172" spans="6:7" s="18" customFormat="1" ht="14.25" customHeight="1" x14ac:dyDescent="0.35">
      <c r="F172" s="19"/>
      <c r="G172" s="20"/>
    </row>
    <row r="173" spans="6:7" s="18" customFormat="1" ht="14.25" customHeight="1" x14ac:dyDescent="0.35">
      <c r="F173" s="19"/>
      <c r="G173" s="20"/>
    </row>
    <row r="174" spans="6:7" s="18" customFormat="1" ht="14.25" customHeight="1" x14ac:dyDescent="0.35">
      <c r="F174" s="19"/>
      <c r="G174" s="20"/>
    </row>
    <row r="175" spans="6:7" s="18" customFormat="1" ht="14.25" customHeight="1" x14ac:dyDescent="0.35">
      <c r="F175" s="19"/>
      <c r="G175" s="20"/>
    </row>
    <row r="176" spans="6:7" s="18" customFormat="1" ht="14.25" customHeight="1" x14ac:dyDescent="0.35">
      <c r="F176" s="19"/>
      <c r="G176" s="20"/>
    </row>
    <row r="177" spans="6:7" s="18" customFormat="1" ht="14.25" customHeight="1" x14ac:dyDescent="0.35">
      <c r="F177" s="19"/>
      <c r="G177" s="20"/>
    </row>
    <row r="178" spans="6:7" s="18" customFormat="1" ht="14.25" customHeight="1" x14ac:dyDescent="0.35">
      <c r="F178" s="19"/>
      <c r="G178" s="20"/>
    </row>
    <row r="179" spans="6:7" s="18" customFormat="1" ht="14.25" customHeight="1" x14ac:dyDescent="0.35">
      <c r="F179" s="19"/>
      <c r="G179" s="20"/>
    </row>
    <row r="180" spans="6:7" s="18" customFormat="1" ht="14.25" customHeight="1" x14ac:dyDescent="0.35">
      <c r="F180" s="19"/>
      <c r="G180" s="20"/>
    </row>
    <row r="181" spans="6:7" s="18" customFormat="1" ht="14.25" customHeight="1" x14ac:dyDescent="0.35">
      <c r="F181" s="19"/>
      <c r="G181" s="20"/>
    </row>
    <row r="182" spans="6:7" s="18" customFormat="1" ht="14.25" customHeight="1" x14ac:dyDescent="0.35">
      <c r="F182" s="19"/>
      <c r="G182" s="20"/>
    </row>
    <row r="183" spans="6:7" s="18" customFormat="1" ht="14.25" customHeight="1" x14ac:dyDescent="0.35">
      <c r="F183" s="19"/>
      <c r="G183" s="20"/>
    </row>
    <row r="184" spans="6:7" s="18" customFormat="1" ht="14.25" customHeight="1" x14ac:dyDescent="0.35">
      <c r="F184" s="19"/>
      <c r="G184" s="20"/>
    </row>
    <row r="185" spans="6:7" s="18" customFormat="1" ht="14.25" customHeight="1" x14ac:dyDescent="0.35">
      <c r="F185" s="19"/>
      <c r="G185" s="20"/>
    </row>
    <row r="186" spans="6:7" s="18" customFormat="1" ht="14.25" customHeight="1" x14ac:dyDescent="0.35">
      <c r="F186" s="19"/>
      <c r="G186" s="20"/>
    </row>
    <row r="187" spans="6:7" s="18" customFormat="1" ht="14.25" customHeight="1" x14ac:dyDescent="0.35">
      <c r="F187" s="19"/>
      <c r="G187" s="20"/>
    </row>
    <row r="188" spans="6:7" s="18" customFormat="1" ht="14.25" customHeight="1" x14ac:dyDescent="0.35">
      <c r="F188" s="19"/>
      <c r="G188" s="20"/>
    </row>
    <row r="189" spans="6:7" s="18" customFormat="1" ht="14.25" customHeight="1" x14ac:dyDescent="0.35">
      <c r="F189" s="19"/>
      <c r="G189" s="20"/>
    </row>
    <row r="190" spans="6:7" s="18" customFormat="1" ht="14.25" customHeight="1" x14ac:dyDescent="0.35">
      <c r="F190" s="19"/>
      <c r="G190" s="20"/>
    </row>
    <row r="191" spans="6:7" s="18" customFormat="1" ht="14.25" customHeight="1" x14ac:dyDescent="0.35">
      <c r="F191" s="19"/>
      <c r="G191" s="20"/>
    </row>
    <row r="192" spans="6:7" s="18" customFormat="1" ht="14.25" customHeight="1" x14ac:dyDescent="0.35">
      <c r="F192" s="19"/>
      <c r="G192" s="20"/>
    </row>
    <row r="193" spans="6:7" s="18" customFormat="1" ht="14.25" customHeight="1" x14ac:dyDescent="0.35">
      <c r="F193" s="19"/>
      <c r="G193" s="20"/>
    </row>
    <row r="194" spans="6:7" s="18" customFormat="1" ht="14.25" customHeight="1" x14ac:dyDescent="0.35">
      <c r="F194" s="19"/>
      <c r="G194" s="20"/>
    </row>
    <row r="195" spans="6:7" s="18" customFormat="1" ht="14.25" customHeight="1" x14ac:dyDescent="0.35">
      <c r="F195" s="19"/>
      <c r="G195" s="20"/>
    </row>
    <row r="196" spans="6:7" s="18" customFormat="1" ht="14.25" customHeight="1" x14ac:dyDescent="0.35">
      <c r="F196" s="19"/>
      <c r="G196" s="20"/>
    </row>
    <row r="197" spans="6:7" s="18" customFormat="1" ht="14.25" customHeight="1" x14ac:dyDescent="0.35">
      <c r="F197" s="19"/>
      <c r="G197" s="20"/>
    </row>
    <row r="198" spans="6:7" s="18" customFormat="1" ht="14.25" customHeight="1" x14ac:dyDescent="0.35">
      <c r="F198" s="19"/>
      <c r="G198" s="20"/>
    </row>
    <row r="199" spans="6:7" s="18" customFormat="1" ht="14.25" customHeight="1" x14ac:dyDescent="0.35">
      <c r="F199" s="19"/>
      <c r="G199" s="20"/>
    </row>
    <row r="200" spans="6:7" s="18" customFormat="1" ht="14.25" customHeight="1" x14ac:dyDescent="0.35">
      <c r="F200" s="19"/>
      <c r="G200" s="20"/>
    </row>
    <row r="201" spans="6:7" s="18" customFormat="1" ht="14.25" customHeight="1" x14ac:dyDescent="0.35">
      <c r="F201" s="19"/>
      <c r="G201" s="20"/>
    </row>
    <row r="202" spans="6:7" s="18" customFormat="1" ht="14.25" customHeight="1" x14ac:dyDescent="0.35">
      <c r="F202" s="19"/>
      <c r="G202" s="20"/>
    </row>
    <row r="203" spans="6:7" s="18" customFormat="1" ht="14.25" customHeight="1" x14ac:dyDescent="0.35">
      <c r="F203" s="19"/>
      <c r="G203" s="20"/>
    </row>
    <row r="204" spans="6:7" s="18" customFormat="1" ht="14.25" customHeight="1" x14ac:dyDescent="0.35">
      <c r="F204" s="19"/>
      <c r="G204" s="20"/>
    </row>
    <row r="205" spans="6:7" s="18" customFormat="1" ht="14.25" customHeight="1" x14ac:dyDescent="0.35">
      <c r="F205" s="19"/>
      <c r="G205" s="20"/>
    </row>
    <row r="206" spans="6:7" s="18" customFormat="1" ht="14.25" customHeight="1" x14ac:dyDescent="0.35">
      <c r="F206" s="19"/>
      <c r="G206" s="20"/>
    </row>
    <row r="207" spans="6:7" s="18" customFormat="1" ht="14.25" customHeight="1" x14ac:dyDescent="0.35">
      <c r="F207" s="19"/>
      <c r="G207" s="20"/>
    </row>
    <row r="208" spans="6:7" s="18" customFormat="1" ht="14.25" customHeight="1" x14ac:dyDescent="0.35">
      <c r="F208" s="19"/>
      <c r="G208" s="20"/>
    </row>
    <row r="209" spans="6:7" s="18" customFormat="1" ht="14.25" customHeight="1" x14ac:dyDescent="0.35">
      <c r="F209" s="19"/>
      <c r="G209" s="20"/>
    </row>
    <row r="210" spans="6:7" s="18" customFormat="1" ht="14.25" customHeight="1" x14ac:dyDescent="0.35">
      <c r="F210" s="19"/>
      <c r="G210" s="20"/>
    </row>
    <row r="211" spans="6:7" s="18" customFormat="1" ht="14.25" customHeight="1" x14ac:dyDescent="0.35">
      <c r="F211" s="19"/>
      <c r="G211" s="20"/>
    </row>
    <row r="212" spans="6:7" s="18" customFormat="1" ht="14.25" customHeight="1" x14ac:dyDescent="0.35">
      <c r="F212" s="19"/>
      <c r="G212" s="20"/>
    </row>
    <row r="213" spans="6:7" s="18" customFormat="1" ht="14.25" customHeight="1" x14ac:dyDescent="0.35">
      <c r="F213" s="19"/>
      <c r="G213" s="20"/>
    </row>
    <row r="214" spans="6:7" s="18" customFormat="1" ht="14.25" customHeight="1" x14ac:dyDescent="0.35">
      <c r="F214" s="19"/>
      <c r="G214" s="20"/>
    </row>
    <row r="215" spans="6:7" s="18" customFormat="1" ht="14.25" customHeight="1" x14ac:dyDescent="0.35">
      <c r="F215" s="19"/>
      <c r="G215" s="20"/>
    </row>
    <row r="216" spans="6:7" s="18" customFormat="1" ht="14.25" customHeight="1" x14ac:dyDescent="0.35">
      <c r="F216" s="19"/>
      <c r="G216" s="20"/>
    </row>
    <row r="217" spans="6:7" s="18" customFormat="1" ht="14.25" customHeight="1" x14ac:dyDescent="0.35">
      <c r="F217" s="19"/>
      <c r="G217" s="20"/>
    </row>
    <row r="218" spans="6:7" s="18" customFormat="1" ht="14.25" customHeight="1" x14ac:dyDescent="0.35">
      <c r="F218" s="19"/>
      <c r="G218" s="20"/>
    </row>
    <row r="219" spans="6:7" s="18" customFormat="1" ht="14.25" customHeight="1" x14ac:dyDescent="0.35">
      <c r="F219" s="19"/>
      <c r="G219" s="20"/>
    </row>
    <row r="220" spans="6:7" s="18" customFormat="1" ht="14.25" customHeight="1" x14ac:dyDescent="0.35">
      <c r="F220" s="19"/>
      <c r="G220" s="20"/>
    </row>
    <row r="221" spans="6:7" s="18" customFormat="1" ht="14.25" customHeight="1" x14ac:dyDescent="0.35">
      <c r="F221" s="19"/>
      <c r="G221" s="20"/>
    </row>
    <row r="222" spans="6:7" s="18" customFormat="1" ht="14.25" customHeight="1" x14ac:dyDescent="0.35">
      <c r="F222" s="19"/>
      <c r="G222" s="20"/>
    </row>
    <row r="223" spans="6:7" s="18" customFormat="1" ht="14.25" customHeight="1" x14ac:dyDescent="0.35">
      <c r="F223" s="19"/>
      <c r="G223" s="20"/>
    </row>
    <row r="224" spans="6:7" s="18" customFormat="1" ht="14.25" customHeight="1" x14ac:dyDescent="0.35">
      <c r="F224" s="19"/>
      <c r="G224" s="20"/>
    </row>
    <row r="225" spans="6:7" s="18" customFormat="1" ht="14.25" customHeight="1" x14ac:dyDescent="0.35">
      <c r="F225" s="19"/>
      <c r="G225" s="20"/>
    </row>
    <row r="226" spans="6:7" s="18" customFormat="1" ht="14.25" customHeight="1" x14ac:dyDescent="0.35">
      <c r="F226" s="19"/>
      <c r="G226" s="20"/>
    </row>
    <row r="227" spans="6:7" s="18" customFormat="1" ht="14.25" customHeight="1" x14ac:dyDescent="0.35">
      <c r="F227" s="19"/>
      <c r="G227" s="20"/>
    </row>
    <row r="228" spans="6:7" s="18" customFormat="1" ht="14.25" customHeight="1" x14ac:dyDescent="0.35">
      <c r="F228" s="19"/>
      <c r="G228" s="20"/>
    </row>
    <row r="229" spans="6:7" s="18" customFormat="1" ht="14.25" customHeight="1" x14ac:dyDescent="0.35">
      <c r="F229" s="19"/>
      <c r="G229" s="20"/>
    </row>
    <row r="230" spans="6:7" s="18" customFormat="1" ht="14.25" customHeight="1" x14ac:dyDescent="0.35">
      <c r="F230" s="19"/>
      <c r="G230" s="20"/>
    </row>
    <row r="231" spans="6:7" s="18" customFormat="1" ht="14.25" customHeight="1" x14ac:dyDescent="0.35">
      <c r="F231" s="19"/>
      <c r="G231" s="20"/>
    </row>
    <row r="232" spans="6:7" s="18" customFormat="1" ht="14.25" customHeight="1" x14ac:dyDescent="0.35">
      <c r="F232" s="19"/>
      <c r="G232" s="20"/>
    </row>
    <row r="233" spans="6:7" s="18" customFormat="1" ht="14.25" customHeight="1" x14ac:dyDescent="0.35">
      <c r="F233" s="19"/>
      <c r="G233" s="20"/>
    </row>
    <row r="234" spans="6:7" s="18" customFormat="1" ht="14.25" customHeight="1" x14ac:dyDescent="0.35">
      <c r="F234" s="19"/>
      <c r="G234" s="20"/>
    </row>
    <row r="235" spans="6:7" s="18" customFormat="1" ht="14.25" customHeight="1" x14ac:dyDescent="0.35">
      <c r="F235" s="19"/>
      <c r="G235" s="20"/>
    </row>
    <row r="236" spans="6:7" s="18" customFormat="1" ht="14.25" customHeight="1" x14ac:dyDescent="0.35">
      <c r="F236" s="19"/>
      <c r="G236" s="20"/>
    </row>
    <row r="237" spans="6:7" s="18" customFormat="1" ht="14.25" customHeight="1" x14ac:dyDescent="0.35">
      <c r="F237" s="19"/>
      <c r="G237" s="20"/>
    </row>
    <row r="238" spans="6:7" s="18" customFormat="1" ht="14.25" customHeight="1" x14ac:dyDescent="0.35">
      <c r="F238" s="19"/>
      <c r="G238" s="20"/>
    </row>
    <row r="239" spans="6:7" s="18" customFormat="1" ht="14.25" customHeight="1" x14ac:dyDescent="0.35">
      <c r="F239" s="19"/>
      <c r="G239" s="20"/>
    </row>
    <row r="240" spans="6:7" s="18" customFormat="1" ht="14.25" customHeight="1" x14ac:dyDescent="0.35">
      <c r="F240" s="19"/>
      <c r="G240" s="20"/>
    </row>
    <row r="241" spans="6:7" s="18" customFormat="1" ht="14.25" customHeight="1" x14ac:dyDescent="0.35">
      <c r="F241" s="19"/>
      <c r="G241" s="20"/>
    </row>
    <row r="242" spans="6:7" s="18" customFormat="1" ht="14.25" customHeight="1" x14ac:dyDescent="0.35">
      <c r="F242" s="19"/>
      <c r="G242" s="20"/>
    </row>
    <row r="243" spans="6:7" s="18" customFormat="1" ht="14.25" customHeight="1" x14ac:dyDescent="0.35">
      <c r="F243" s="19"/>
      <c r="G243" s="20"/>
    </row>
    <row r="244" spans="6:7" s="18" customFormat="1" ht="14.25" customHeight="1" x14ac:dyDescent="0.35">
      <c r="F244" s="19"/>
      <c r="G244" s="20"/>
    </row>
    <row r="245" spans="6:7" s="18" customFormat="1" ht="14.25" customHeight="1" x14ac:dyDescent="0.35">
      <c r="F245" s="19"/>
      <c r="G245" s="20"/>
    </row>
    <row r="246" spans="6:7" s="18" customFormat="1" ht="14.25" customHeight="1" x14ac:dyDescent="0.35">
      <c r="F246" s="19"/>
      <c r="G246" s="20"/>
    </row>
    <row r="247" spans="6:7" s="18" customFormat="1" ht="14.25" customHeight="1" x14ac:dyDescent="0.35">
      <c r="F247" s="19"/>
      <c r="G247" s="20"/>
    </row>
    <row r="248" spans="6:7" s="18" customFormat="1" ht="14.25" customHeight="1" x14ac:dyDescent="0.35">
      <c r="F248" s="19"/>
      <c r="G248" s="20"/>
    </row>
    <row r="249" spans="6:7" s="18" customFormat="1" ht="14.25" customHeight="1" x14ac:dyDescent="0.35">
      <c r="F249" s="19"/>
      <c r="G249" s="20"/>
    </row>
    <row r="250" spans="6:7" s="18" customFormat="1" ht="14.25" customHeight="1" x14ac:dyDescent="0.35">
      <c r="F250" s="19"/>
      <c r="G250" s="20"/>
    </row>
    <row r="251" spans="6:7" s="18" customFormat="1" ht="14.25" customHeight="1" x14ac:dyDescent="0.35">
      <c r="F251" s="19"/>
      <c r="G251" s="20"/>
    </row>
    <row r="252" spans="6:7" s="18" customFormat="1" ht="14.25" customHeight="1" x14ac:dyDescent="0.35">
      <c r="F252" s="19"/>
      <c r="G252" s="20"/>
    </row>
    <row r="253" spans="6:7" s="18" customFormat="1" ht="14.25" customHeight="1" x14ac:dyDescent="0.35">
      <c r="F253" s="19"/>
      <c r="G253" s="20"/>
    </row>
    <row r="254" spans="6:7" s="18" customFormat="1" ht="14.25" customHeight="1" x14ac:dyDescent="0.35">
      <c r="F254" s="19"/>
      <c r="G254" s="20"/>
    </row>
    <row r="255" spans="6:7" s="18" customFormat="1" ht="14.25" customHeight="1" x14ac:dyDescent="0.35">
      <c r="F255" s="19"/>
      <c r="G255" s="20"/>
    </row>
    <row r="256" spans="6:7" s="18" customFormat="1" ht="14.25" customHeight="1" x14ac:dyDescent="0.35">
      <c r="F256" s="19"/>
      <c r="G256" s="20"/>
    </row>
    <row r="257" spans="6:7" s="18" customFormat="1" ht="14.25" customHeight="1" x14ac:dyDescent="0.35">
      <c r="F257" s="19"/>
      <c r="G257" s="20"/>
    </row>
    <row r="258" spans="6:7" s="18" customFormat="1" ht="14.25" customHeight="1" x14ac:dyDescent="0.35">
      <c r="F258" s="19"/>
      <c r="G258" s="20"/>
    </row>
    <row r="259" spans="6:7" s="18" customFormat="1" ht="14.25" customHeight="1" x14ac:dyDescent="0.35">
      <c r="F259" s="19"/>
      <c r="G259" s="20"/>
    </row>
    <row r="260" spans="6:7" s="18" customFormat="1" ht="14.25" customHeight="1" x14ac:dyDescent="0.35">
      <c r="F260" s="19"/>
      <c r="G260" s="20"/>
    </row>
    <row r="261" spans="6:7" s="18" customFormat="1" ht="14.25" customHeight="1" x14ac:dyDescent="0.35">
      <c r="F261" s="19"/>
      <c r="G261" s="20"/>
    </row>
    <row r="262" spans="6:7" s="18" customFormat="1" ht="14.25" customHeight="1" x14ac:dyDescent="0.35">
      <c r="F262" s="19"/>
      <c r="G262" s="20"/>
    </row>
    <row r="263" spans="6:7" s="18" customFormat="1" ht="14.25" customHeight="1" x14ac:dyDescent="0.35">
      <c r="F263" s="19"/>
      <c r="G263" s="20"/>
    </row>
    <row r="264" spans="6:7" s="18" customFormat="1" ht="14.25" customHeight="1" x14ac:dyDescent="0.35">
      <c r="F264" s="19"/>
      <c r="G264" s="20"/>
    </row>
    <row r="265" spans="6:7" s="18" customFormat="1" ht="14.25" customHeight="1" x14ac:dyDescent="0.35">
      <c r="F265" s="19"/>
      <c r="G265" s="20"/>
    </row>
    <row r="266" spans="6:7" s="18" customFormat="1" ht="14.25" customHeight="1" x14ac:dyDescent="0.35">
      <c r="F266" s="19"/>
      <c r="G266" s="20"/>
    </row>
    <row r="267" spans="6:7" s="18" customFormat="1" ht="14.25" customHeight="1" x14ac:dyDescent="0.35">
      <c r="F267" s="19"/>
      <c r="G267" s="20"/>
    </row>
    <row r="268" spans="6:7" s="18" customFormat="1" ht="14.25" customHeight="1" x14ac:dyDescent="0.35">
      <c r="F268" s="19"/>
      <c r="G268" s="20"/>
    </row>
    <row r="269" spans="6:7" s="18" customFormat="1" ht="14.25" customHeight="1" x14ac:dyDescent="0.35">
      <c r="F269" s="19"/>
      <c r="G269" s="20"/>
    </row>
    <row r="270" spans="6:7" s="18" customFormat="1" ht="14.25" customHeight="1" x14ac:dyDescent="0.35">
      <c r="F270" s="19"/>
      <c r="G270" s="20"/>
    </row>
    <row r="271" spans="6:7" s="18" customFormat="1" ht="14.25" customHeight="1" x14ac:dyDescent="0.35">
      <c r="F271" s="19"/>
      <c r="G271" s="20"/>
    </row>
    <row r="272" spans="6:7" s="18" customFormat="1" ht="14.25" customHeight="1" x14ac:dyDescent="0.35">
      <c r="F272" s="19"/>
      <c r="G272" s="20"/>
    </row>
    <row r="273" spans="6:7" s="18" customFormat="1" ht="14.25" customHeight="1" x14ac:dyDescent="0.35">
      <c r="F273" s="19"/>
      <c r="G273" s="20"/>
    </row>
    <row r="274" spans="6:7" s="18" customFormat="1" ht="14.25" customHeight="1" x14ac:dyDescent="0.35">
      <c r="F274" s="19"/>
      <c r="G274" s="20"/>
    </row>
    <row r="275" spans="6:7" s="18" customFormat="1" ht="14.25" customHeight="1" x14ac:dyDescent="0.35">
      <c r="F275" s="19"/>
      <c r="G275" s="20"/>
    </row>
    <row r="276" spans="6:7" s="18" customFormat="1" ht="14.25" customHeight="1" x14ac:dyDescent="0.35">
      <c r="F276" s="19"/>
      <c r="G276" s="20"/>
    </row>
    <row r="277" spans="6:7" s="18" customFormat="1" ht="14.25" customHeight="1" x14ac:dyDescent="0.35">
      <c r="F277" s="19"/>
      <c r="G277" s="20"/>
    </row>
    <row r="278" spans="6:7" s="18" customFormat="1" ht="14.25" customHeight="1" x14ac:dyDescent="0.35">
      <c r="F278" s="19"/>
      <c r="G278" s="20"/>
    </row>
    <row r="279" spans="6:7" s="18" customFormat="1" ht="14.25" customHeight="1" x14ac:dyDescent="0.35">
      <c r="F279" s="19"/>
      <c r="G279" s="20"/>
    </row>
    <row r="280" spans="6:7" s="18" customFormat="1" ht="14.25" customHeight="1" x14ac:dyDescent="0.35">
      <c r="F280" s="19"/>
      <c r="G280" s="20"/>
    </row>
    <row r="281" spans="6:7" s="18" customFormat="1" ht="14.25" customHeight="1" x14ac:dyDescent="0.35">
      <c r="F281" s="19"/>
      <c r="G281" s="20"/>
    </row>
    <row r="282" spans="6:7" s="18" customFormat="1" ht="14.25" customHeight="1" x14ac:dyDescent="0.35">
      <c r="F282" s="19"/>
      <c r="G282" s="20"/>
    </row>
    <row r="283" spans="6:7" s="18" customFormat="1" ht="14.25" customHeight="1" x14ac:dyDescent="0.35">
      <c r="F283" s="19"/>
      <c r="G283" s="20"/>
    </row>
    <row r="284" spans="6:7" s="18" customFormat="1" ht="14.25" customHeight="1" x14ac:dyDescent="0.35">
      <c r="F284" s="19"/>
      <c r="G284" s="20"/>
    </row>
    <row r="285" spans="6:7" s="18" customFormat="1" ht="14.25" customHeight="1" x14ac:dyDescent="0.35">
      <c r="F285" s="19"/>
      <c r="G285" s="20"/>
    </row>
    <row r="286" spans="6:7" s="18" customFormat="1" ht="14.25" customHeight="1" x14ac:dyDescent="0.35">
      <c r="F286" s="19"/>
      <c r="G286" s="20"/>
    </row>
    <row r="287" spans="6:7" s="18" customFormat="1" ht="14.25" customHeight="1" x14ac:dyDescent="0.35">
      <c r="F287" s="19"/>
      <c r="G287" s="20"/>
    </row>
    <row r="288" spans="6:7" s="18" customFormat="1" ht="14.25" customHeight="1" x14ac:dyDescent="0.35">
      <c r="F288" s="19"/>
      <c r="G288" s="20"/>
    </row>
    <row r="289" spans="6:7" s="18" customFormat="1" ht="14.25" customHeight="1" x14ac:dyDescent="0.35">
      <c r="F289" s="19"/>
      <c r="G289" s="20"/>
    </row>
    <row r="290" spans="6:7" s="18" customFormat="1" ht="14.25" customHeight="1" x14ac:dyDescent="0.35">
      <c r="F290" s="19"/>
      <c r="G290" s="20"/>
    </row>
    <row r="291" spans="6:7" s="18" customFormat="1" ht="14.25" customHeight="1" x14ac:dyDescent="0.35">
      <c r="F291" s="19"/>
      <c r="G291" s="20"/>
    </row>
    <row r="292" spans="6:7" s="18" customFormat="1" ht="14.25" customHeight="1" x14ac:dyDescent="0.35">
      <c r="F292" s="19"/>
      <c r="G292" s="20"/>
    </row>
    <row r="293" spans="6:7" s="18" customFormat="1" ht="14.25" customHeight="1" x14ac:dyDescent="0.35">
      <c r="F293" s="19"/>
      <c r="G293" s="20"/>
    </row>
    <row r="294" spans="6:7" s="18" customFormat="1" ht="14.25" customHeight="1" x14ac:dyDescent="0.35">
      <c r="F294" s="19"/>
      <c r="G294" s="20"/>
    </row>
    <row r="295" spans="6:7" s="18" customFormat="1" ht="14.25" customHeight="1" x14ac:dyDescent="0.35">
      <c r="F295" s="19"/>
      <c r="G295" s="20"/>
    </row>
    <row r="296" spans="6:7" s="18" customFormat="1" ht="14.25" customHeight="1" x14ac:dyDescent="0.35">
      <c r="F296" s="19"/>
      <c r="G296" s="20"/>
    </row>
    <row r="297" spans="6:7" s="18" customFormat="1" ht="14.25" customHeight="1" x14ac:dyDescent="0.35">
      <c r="F297" s="19"/>
      <c r="G297" s="20"/>
    </row>
    <row r="298" spans="6:7" s="18" customFormat="1" ht="14.25" customHeight="1" x14ac:dyDescent="0.35">
      <c r="F298" s="19"/>
      <c r="G298" s="20"/>
    </row>
    <row r="299" spans="6:7" s="18" customFormat="1" ht="14.25" customHeight="1" x14ac:dyDescent="0.35">
      <c r="F299" s="19"/>
      <c r="G299" s="20"/>
    </row>
    <row r="300" spans="6:7" s="18" customFormat="1" ht="14.25" customHeight="1" x14ac:dyDescent="0.35">
      <c r="F300" s="19"/>
      <c r="G300" s="20"/>
    </row>
    <row r="301" spans="6:7" s="18" customFormat="1" ht="14.25" customHeight="1" x14ac:dyDescent="0.35">
      <c r="F301" s="19"/>
      <c r="G301" s="20"/>
    </row>
    <row r="302" spans="6:7" s="18" customFormat="1" ht="14.25" customHeight="1" x14ac:dyDescent="0.35">
      <c r="F302" s="19"/>
      <c r="G302" s="20"/>
    </row>
    <row r="303" spans="6:7" s="18" customFormat="1" ht="14.25" customHeight="1" x14ac:dyDescent="0.35">
      <c r="F303" s="19"/>
      <c r="G303" s="20"/>
    </row>
    <row r="304" spans="6:7" s="18" customFormat="1" ht="14.25" customHeight="1" x14ac:dyDescent="0.35">
      <c r="F304" s="19"/>
      <c r="G304" s="20"/>
    </row>
    <row r="305" spans="6:7" s="18" customFormat="1" ht="14.25" customHeight="1" x14ac:dyDescent="0.35">
      <c r="F305" s="19"/>
      <c r="G305" s="20"/>
    </row>
    <row r="306" spans="6:7" s="18" customFormat="1" ht="14.25" customHeight="1" x14ac:dyDescent="0.35">
      <c r="F306" s="19"/>
      <c r="G306" s="20"/>
    </row>
    <row r="307" spans="6:7" s="18" customFormat="1" ht="14.25" customHeight="1" x14ac:dyDescent="0.35">
      <c r="F307" s="19"/>
      <c r="G307" s="20"/>
    </row>
    <row r="308" spans="6:7" s="18" customFormat="1" ht="14.25" customHeight="1" x14ac:dyDescent="0.35">
      <c r="F308" s="19"/>
      <c r="G308" s="20"/>
    </row>
    <row r="309" spans="6:7" s="18" customFormat="1" ht="14.25" customHeight="1" x14ac:dyDescent="0.35">
      <c r="F309" s="19"/>
      <c r="G309" s="20"/>
    </row>
    <row r="310" spans="6:7" s="18" customFormat="1" ht="14.25" customHeight="1" x14ac:dyDescent="0.35">
      <c r="F310" s="19"/>
      <c r="G310" s="20"/>
    </row>
    <row r="311" spans="6:7" s="18" customFormat="1" ht="14.25" customHeight="1" x14ac:dyDescent="0.35">
      <c r="F311" s="19"/>
      <c r="G311" s="20"/>
    </row>
    <row r="312" spans="6:7" s="18" customFormat="1" ht="14.25" customHeight="1" x14ac:dyDescent="0.35">
      <c r="F312" s="19"/>
      <c r="G312" s="20"/>
    </row>
    <row r="313" spans="6:7" s="18" customFormat="1" ht="14.25" customHeight="1" x14ac:dyDescent="0.35">
      <c r="F313" s="19"/>
      <c r="G313" s="20"/>
    </row>
    <row r="314" spans="6:7" s="18" customFormat="1" ht="14.25" customHeight="1" x14ac:dyDescent="0.35">
      <c r="F314" s="19"/>
      <c r="G314" s="20"/>
    </row>
    <row r="315" spans="6:7" s="18" customFormat="1" ht="14.25" customHeight="1" x14ac:dyDescent="0.35">
      <c r="F315" s="19"/>
      <c r="G315" s="20"/>
    </row>
    <row r="316" spans="6:7" s="18" customFormat="1" ht="14.25" customHeight="1" x14ac:dyDescent="0.35">
      <c r="F316" s="19"/>
      <c r="G316" s="20"/>
    </row>
    <row r="317" spans="6:7" s="18" customFormat="1" ht="14.25" customHeight="1" x14ac:dyDescent="0.35">
      <c r="F317" s="19"/>
      <c r="G317" s="20"/>
    </row>
    <row r="318" spans="6:7" s="18" customFormat="1" ht="14.25" customHeight="1" x14ac:dyDescent="0.35">
      <c r="F318" s="19"/>
      <c r="G318" s="20"/>
    </row>
    <row r="319" spans="6:7" s="18" customFormat="1" ht="14.25" customHeight="1" x14ac:dyDescent="0.35">
      <c r="F319" s="19"/>
      <c r="G319" s="20"/>
    </row>
    <row r="320" spans="6:7" s="18" customFormat="1" ht="14.25" customHeight="1" x14ac:dyDescent="0.35">
      <c r="F320" s="19"/>
      <c r="G320" s="20"/>
    </row>
    <row r="321" spans="6:7" s="18" customFormat="1" ht="14.25" customHeight="1" x14ac:dyDescent="0.35">
      <c r="F321" s="19"/>
      <c r="G321" s="20"/>
    </row>
    <row r="322" spans="6:7" s="18" customFormat="1" ht="14.25" customHeight="1" x14ac:dyDescent="0.35">
      <c r="F322" s="19"/>
      <c r="G322" s="20"/>
    </row>
    <row r="323" spans="6:7" s="18" customFormat="1" ht="14.25" customHeight="1" x14ac:dyDescent="0.35">
      <c r="F323" s="19"/>
      <c r="G323" s="20"/>
    </row>
    <row r="324" spans="6:7" s="18" customFormat="1" ht="14.25" customHeight="1" x14ac:dyDescent="0.35">
      <c r="F324" s="19"/>
      <c r="G324" s="20"/>
    </row>
    <row r="325" spans="6:7" s="18" customFormat="1" ht="14.25" customHeight="1" x14ac:dyDescent="0.35">
      <c r="F325" s="19"/>
      <c r="G325" s="20"/>
    </row>
    <row r="326" spans="6:7" s="18" customFormat="1" ht="14.25" customHeight="1" x14ac:dyDescent="0.35">
      <c r="F326" s="19"/>
      <c r="G326" s="20"/>
    </row>
    <row r="327" spans="6:7" s="18" customFormat="1" ht="14.25" customHeight="1" x14ac:dyDescent="0.35">
      <c r="F327" s="19"/>
      <c r="G327" s="20"/>
    </row>
    <row r="328" spans="6:7" s="18" customFormat="1" ht="14.25" customHeight="1" x14ac:dyDescent="0.35">
      <c r="F328" s="19"/>
      <c r="G328" s="20"/>
    </row>
    <row r="329" spans="6:7" s="18" customFormat="1" ht="14.25" customHeight="1" x14ac:dyDescent="0.35">
      <c r="F329" s="19"/>
      <c r="G329" s="20"/>
    </row>
    <row r="330" spans="6:7" s="18" customFormat="1" ht="14.25" customHeight="1" x14ac:dyDescent="0.35">
      <c r="F330" s="19"/>
      <c r="G330" s="20"/>
    </row>
    <row r="331" spans="6:7" s="18" customFormat="1" ht="14.25" customHeight="1" x14ac:dyDescent="0.35">
      <c r="F331" s="19"/>
      <c r="G331" s="20"/>
    </row>
    <row r="332" spans="6:7" s="18" customFormat="1" ht="14.25" customHeight="1" x14ac:dyDescent="0.35">
      <c r="F332" s="19"/>
      <c r="G332" s="20"/>
    </row>
    <row r="333" spans="6:7" s="18" customFormat="1" ht="14.25" customHeight="1" x14ac:dyDescent="0.35">
      <c r="F333" s="19"/>
      <c r="G333" s="20"/>
    </row>
    <row r="334" spans="6:7" s="18" customFormat="1" ht="14.25" customHeight="1" x14ac:dyDescent="0.35">
      <c r="F334" s="19"/>
      <c r="G334" s="20"/>
    </row>
    <row r="335" spans="6:7" s="18" customFormat="1" ht="14.25" customHeight="1" x14ac:dyDescent="0.35">
      <c r="F335" s="19"/>
      <c r="G335" s="20"/>
    </row>
    <row r="336" spans="6:7" s="18" customFormat="1" ht="14.25" customHeight="1" x14ac:dyDescent="0.35">
      <c r="F336" s="19"/>
      <c r="G336" s="20"/>
    </row>
    <row r="337" spans="6:7" s="18" customFormat="1" ht="14.25" customHeight="1" x14ac:dyDescent="0.35">
      <c r="F337" s="19"/>
      <c r="G337" s="20"/>
    </row>
    <row r="338" spans="6:7" s="18" customFormat="1" ht="14.25" customHeight="1" x14ac:dyDescent="0.35">
      <c r="F338" s="19"/>
      <c r="G338" s="20"/>
    </row>
    <row r="339" spans="6:7" s="18" customFormat="1" ht="14.25" customHeight="1" x14ac:dyDescent="0.35">
      <c r="F339" s="19"/>
      <c r="G339" s="20"/>
    </row>
    <row r="340" spans="6:7" s="18" customFormat="1" ht="14.25" customHeight="1" x14ac:dyDescent="0.35">
      <c r="F340" s="19"/>
      <c r="G340" s="20"/>
    </row>
    <row r="341" spans="6:7" s="18" customFormat="1" ht="14.25" customHeight="1" x14ac:dyDescent="0.35">
      <c r="F341" s="19"/>
      <c r="G341" s="20"/>
    </row>
    <row r="342" spans="6:7" s="18" customFormat="1" ht="14.25" customHeight="1" x14ac:dyDescent="0.35">
      <c r="F342" s="19"/>
      <c r="G342" s="20"/>
    </row>
    <row r="343" spans="6:7" s="18" customFormat="1" ht="14.25" customHeight="1" x14ac:dyDescent="0.35">
      <c r="F343" s="19"/>
      <c r="G343" s="20"/>
    </row>
    <row r="344" spans="6:7" s="18" customFormat="1" ht="14.25" customHeight="1" x14ac:dyDescent="0.35">
      <c r="F344" s="19"/>
      <c r="G344" s="20"/>
    </row>
    <row r="345" spans="6:7" s="18" customFormat="1" ht="14.25" customHeight="1" x14ac:dyDescent="0.35">
      <c r="F345" s="19"/>
      <c r="G345" s="20"/>
    </row>
    <row r="346" spans="6:7" s="18" customFormat="1" ht="14.25" customHeight="1" x14ac:dyDescent="0.35">
      <c r="F346" s="19"/>
      <c r="G346" s="20"/>
    </row>
    <row r="347" spans="6:7" s="18" customFormat="1" ht="14.25" customHeight="1" x14ac:dyDescent="0.35">
      <c r="F347" s="19"/>
      <c r="G347" s="20"/>
    </row>
    <row r="348" spans="6:7" s="18" customFormat="1" ht="14.25" customHeight="1" x14ac:dyDescent="0.35">
      <c r="F348" s="19"/>
      <c r="G348" s="20"/>
    </row>
    <row r="349" spans="6:7" s="18" customFormat="1" ht="14.25" customHeight="1" x14ac:dyDescent="0.35">
      <c r="F349" s="19"/>
      <c r="G349" s="20"/>
    </row>
    <row r="350" spans="6:7" s="18" customFormat="1" ht="14.25" customHeight="1" x14ac:dyDescent="0.35">
      <c r="F350" s="19"/>
      <c r="G350" s="20"/>
    </row>
    <row r="351" spans="6:7" s="18" customFormat="1" ht="14.25" customHeight="1" x14ac:dyDescent="0.35">
      <c r="F351" s="19"/>
      <c r="G351" s="20"/>
    </row>
    <row r="352" spans="6:7" s="18" customFormat="1" ht="14.25" customHeight="1" x14ac:dyDescent="0.35">
      <c r="F352" s="19"/>
      <c r="G352" s="20"/>
    </row>
    <row r="353" spans="6:7" s="18" customFormat="1" ht="14.25" customHeight="1" x14ac:dyDescent="0.35">
      <c r="F353" s="19"/>
      <c r="G353" s="20"/>
    </row>
    <row r="354" spans="6:7" s="18" customFormat="1" ht="14.25" customHeight="1" x14ac:dyDescent="0.35">
      <c r="F354" s="19"/>
      <c r="G354" s="20"/>
    </row>
    <row r="355" spans="6:7" s="18" customFormat="1" ht="14.25" customHeight="1" x14ac:dyDescent="0.35">
      <c r="F355" s="19"/>
      <c r="G355" s="20"/>
    </row>
    <row r="356" spans="6:7" s="18" customFormat="1" ht="14.25" customHeight="1" x14ac:dyDescent="0.35">
      <c r="F356" s="19"/>
      <c r="G356" s="20"/>
    </row>
    <row r="357" spans="6:7" s="18" customFormat="1" ht="14.25" customHeight="1" x14ac:dyDescent="0.35">
      <c r="F357" s="19"/>
      <c r="G357" s="20"/>
    </row>
    <row r="358" spans="6:7" s="18" customFormat="1" ht="14.25" customHeight="1" x14ac:dyDescent="0.35">
      <c r="F358" s="19"/>
      <c r="G358" s="20"/>
    </row>
    <row r="359" spans="6:7" s="18" customFormat="1" ht="14.25" customHeight="1" x14ac:dyDescent="0.35">
      <c r="F359" s="19"/>
      <c r="G359" s="20"/>
    </row>
    <row r="360" spans="6:7" s="18" customFormat="1" ht="14.25" customHeight="1" x14ac:dyDescent="0.35">
      <c r="F360" s="19"/>
      <c r="G360" s="20"/>
    </row>
    <row r="361" spans="6:7" s="18" customFormat="1" ht="14.25" customHeight="1" x14ac:dyDescent="0.35">
      <c r="F361" s="19"/>
      <c r="G361" s="20"/>
    </row>
    <row r="362" spans="6:7" s="18" customFormat="1" ht="14.25" customHeight="1" x14ac:dyDescent="0.35">
      <c r="F362" s="19"/>
      <c r="G362" s="20"/>
    </row>
    <row r="363" spans="6:7" s="18" customFormat="1" ht="14.25" customHeight="1" x14ac:dyDescent="0.35">
      <c r="F363" s="19"/>
      <c r="G363" s="20"/>
    </row>
    <row r="364" spans="6:7" s="18" customFormat="1" ht="14.25" customHeight="1" x14ac:dyDescent="0.35">
      <c r="F364" s="19"/>
      <c r="G364" s="20"/>
    </row>
    <row r="365" spans="6:7" s="18" customFormat="1" ht="14.25" customHeight="1" x14ac:dyDescent="0.35">
      <c r="F365" s="19"/>
      <c r="G365" s="20"/>
    </row>
    <row r="366" spans="6:7" s="18" customFormat="1" ht="14.25" customHeight="1" x14ac:dyDescent="0.35">
      <c r="F366" s="19"/>
      <c r="G366" s="20"/>
    </row>
    <row r="367" spans="6:7" s="18" customFormat="1" ht="14.25" customHeight="1" x14ac:dyDescent="0.35">
      <c r="F367" s="19"/>
      <c r="G367" s="20"/>
    </row>
    <row r="368" spans="6:7" s="18" customFormat="1" ht="14.25" customHeight="1" x14ac:dyDescent="0.35">
      <c r="F368" s="19"/>
      <c r="G368" s="20"/>
    </row>
    <row r="369" spans="6:7" s="18" customFormat="1" ht="14.25" customHeight="1" x14ac:dyDescent="0.35">
      <c r="F369" s="19"/>
      <c r="G369" s="20"/>
    </row>
    <row r="370" spans="6:7" s="18" customFormat="1" ht="14.25" customHeight="1" x14ac:dyDescent="0.35">
      <c r="F370" s="19"/>
      <c r="G370" s="20"/>
    </row>
    <row r="371" spans="6:7" s="18" customFormat="1" ht="14.25" customHeight="1" x14ac:dyDescent="0.35">
      <c r="F371" s="19"/>
      <c r="G371" s="20"/>
    </row>
    <row r="372" spans="6:7" s="18" customFormat="1" ht="14.25" customHeight="1" x14ac:dyDescent="0.35">
      <c r="F372" s="19"/>
      <c r="G372" s="20"/>
    </row>
    <row r="373" spans="6:7" s="18" customFormat="1" ht="14.25" customHeight="1" x14ac:dyDescent="0.35">
      <c r="F373" s="19"/>
      <c r="G373" s="20"/>
    </row>
    <row r="374" spans="6:7" s="18" customFormat="1" ht="14.25" customHeight="1" x14ac:dyDescent="0.35">
      <c r="F374" s="19"/>
      <c r="G374" s="20"/>
    </row>
    <row r="375" spans="6:7" s="18" customFormat="1" ht="14.25" customHeight="1" x14ac:dyDescent="0.35">
      <c r="F375" s="19"/>
      <c r="G375" s="20"/>
    </row>
    <row r="376" spans="6:7" s="18" customFormat="1" ht="14.25" customHeight="1" x14ac:dyDescent="0.35">
      <c r="F376" s="19"/>
      <c r="G376" s="20"/>
    </row>
    <row r="377" spans="6:7" s="18" customFormat="1" ht="14.25" customHeight="1" x14ac:dyDescent="0.35">
      <c r="F377" s="19"/>
      <c r="G377" s="20"/>
    </row>
    <row r="378" spans="6:7" s="18" customFormat="1" ht="14.25" customHeight="1" x14ac:dyDescent="0.35">
      <c r="F378" s="19"/>
      <c r="G378" s="20"/>
    </row>
    <row r="379" spans="6:7" s="18" customFormat="1" ht="14.25" customHeight="1" x14ac:dyDescent="0.35">
      <c r="F379" s="19"/>
      <c r="G379" s="20"/>
    </row>
    <row r="380" spans="6:7" s="18" customFormat="1" ht="14.25" customHeight="1" x14ac:dyDescent="0.35">
      <c r="F380" s="19"/>
      <c r="G380" s="20"/>
    </row>
    <row r="381" spans="6:7" s="18" customFormat="1" ht="14.25" customHeight="1" x14ac:dyDescent="0.35">
      <c r="F381" s="19"/>
      <c r="G381" s="20"/>
    </row>
    <row r="382" spans="6:7" s="18" customFormat="1" ht="14.25" customHeight="1" x14ac:dyDescent="0.35">
      <c r="F382" s="19"/>
      <c r="G382" s="20"/>
    </row>
    <row r="383" spans="6:7" s="18" customFormat="1" ht="14.25" customHeight="1" x14ac:dyDescent="0.35">
      <c r="F383" s="19"/>
      <c r="G383" s="20"/>
    </row>
    <row r="384" spans="6:7" s="18" customFormat="1" ht="14.25" customHeight="1" x14ac:dyDescent="0.35">
      <c r="F384" s="19"/>
      <c r="G384" s="20"/>
    </row>
    <row r="385" spans="6:7" s="18" customFormat="1" ht="14.25" customHeight="1" x14ac:dyDescent="0.35">
      <c r="F385" s="19"/>
      <c r="G385" s="20"/>
    </row>
    <row r="386" spans="6:7" s="18" customFormat="1" ht="14.25" customHeight="1" x14ac:dyDescent="0.35">
      <c r="F386" s="19"/>
      <c r="G386" s="20"/>
    </row>
    <row r="387" spans="6:7" s="18" customFormat="1" ht="14.25" customHeight="1" x14ac:dyDescent="0.35">
      <c r="F387" s="19"/>
      <c r="G387" s="20"/>
    </row>
    <row r="388" spans="6:7" s="18" customFormat="1" ht="14.25" customHeight="1" x14ac:dyDescent="0.35">
      <c r="F388" s="19"/>
      <c r="G388" s="20"/>
    </row>
    <row r="389" spans="6:7" s="18" customFormat="1" ht="14.25" customHeight="1" x14ac:dyDescent="0.35">
      <c r="F389" s="19"/>
      <c r="G389" s="20"/>
    </row>
    <row r="390" spans="6:7" s="18" customFormat="1" ht="14.25" customHeight="1" x14ac:dyDescent="0.35">
      <c r="F390" s="19"/>
      <c r="G390" s="20"/>
    </row>
    <row r="391" spans="6:7" s="18" customFormat="1" ht="14.25" customHeight="1" x14ac:dyDescent="0.35">
      <c r="F391" s="19"/>
      <c r="G391" s="20"/>
    </row>
    <row r="392" spans="6:7" s="18" customFormat="1" ht="14.25" customHeight="1" x14ac:dyDescent="0.35">
      <c r="F392" s="19"/>
      <c r="G392" s="20"/>
    </row>
    <row r="393" spans="6:7" s="18" customFormat="1" ht="14.25" customHeight="1" x14ac:dyDescent="0.35">
      <c r="F393" s="19"/>
      <c r="G393" s="20"/>
    </row>
    <row r="394" spans="6:7" s="18" customFormat="1" ht="14.25" customHeight="1" x14ac:dyDescent="0.35">
      <c r="F394" s="19"/>
      <c r="G394" s="20"/>
    </row>
    <row r="395" spans="6:7" s="18" customFormat="1" ht="14.25" customHeight="1" x14ac:dyDescent="0.35">
      <c r="F395" s="19"/>
      <c r="G395" s="20"/>
    </row>
    <row r="396" spans="6:7" s="18" customFormat="1" ht="14.25" customHeight="1" x14ac:dyDescent="0.35">
      <c r="F396" s="19"/>
      <c r="G396" s="20"/>
    </row>
    <row r="397" spans="6:7" s="18" customFormat="1" ht="14.25" customHeight="1" x14ac:dyDescent="0.35">
      <c r="F397" s="19"/>
      <c r="G397" s="20"/>
    </row>
    <row r="398" spans="6:7" s="18" customFormat="1" ht="14.25" customHeight="1" x14ac:dyDescent="0.35">
      <c r="F398" s="19"/>
      <c r="G398" s="20"/>
    </row>
    <row r="399" spans="6:7" s="18" customFormat="1" ht="14.25" customHeight="1" x14ac:dyDescent="0.35">
      <c r="F399" s="19"/>
      <c r="G399" s="20"/>
    </row>
    <row r="400" spans="6:7" s="18" customFormat="1" ht="14.25" customHeight="1" x14ac:dyDescent="0.35">
      <c r="F400" s="19"/>
      <c r="G400" s="20"/>
    </row>
    <row r="401" spans="6:7" s="18" customFormat="1" ht="14.25" customHeight="1" x14ac:dyDescent="0.35">
      <c r="F401" s="19"/>
      <c r="G401" s="20"/>
    </row>
    <row r="402" spans="6:7" s="18" customFormat="1" ht="14.25" customHeight="1" x14ac:dyDescent="0.35">
      <c r="F402" s="19"/>
      <c r="G402" s="20"/>
    </row>
    <row r="403" spans="6:7" s="18" customFormat="1" ht="14.25" customHeight="1" x14ac:dyDescent="0.35">
      <c r="F403" s="19"/>
      <c r="G403" s="20"/>
    </row>
    <row r="404" spans="6:7" s="18" customFormat="1" ht="14.25" customHeight="1" x14ac:dyDescent="0.35">
      <c r="F404" s="19"/>
      <c r="G404" s="20"/>
    </row>
    <row r="405" spans="6:7" s="18" customFormat="1" ht="14.25" customHeight="1" x14ac:dyDescent="0.35">
      <c r="F405" s="19"/>
      <c r="G405" s="20"/>
    </row>
    <row r="406" spans="6:7" s="18" customFormat="1" ht="14.25" customHeight="1" x14ac:dyDescent="0.35">
      <c r="F406" s="19"/>
      <c r="G406" s="20"/>
    </row>
    <row r="407" spans="6:7" s="18" customFormat="1" ht="14.25" customHeight="1" x14ac:dyDescent="0.35">
      <c r="F407" s="19"/>
      <c r="G407" s="20"/>
    </row>
    <row r="408" spans="6:7" s="18" customFormat="1" ht="14.25" customHeight="1" x14ac:dyDescent="0.35">
      <c r="F408" s="19"/>
      <c r="G408" s="20"/>
    </row>
    <row r="409" spans="6:7" s="18" customFormat="1" ht="14.25" customHeight="1" x14ac:dyDescent="0.35">
      <c r="F409" s="19"/>
      <c r="G409" s="20"/>
    </row>
    <row r="410" spans="6:7" s="18" customFormat="1" ht="14.25" customHeight="1" x14ac:dyDescent="0.35">
      <c r="F410" s="19"/>
      <c r="G410" s="20"/>
    </row>
    <row r="411" spans="6:7" s="18" customFormat="1" ht="14.25" customHeight="1" x14ac:dyDescent="0.35">
      <c r="F411" s="19"/>
      <c r="G411" s="20"/>
    </row>
    <row r="412" spans="6:7" s="18" customFormat="1" ht="14.25" customHeight="1" x14ac:dyDescent="0.35">
      <c r="F412" s="19"/>
      <c r="G412" s="20"/>
    </row>
    <row r="413" spans="6:7" s="18" customFormat="1" ht="14.25" customHeight="1" x14ac:dyDescent="0.35">
      <c r="F413" s="19"/>
      <c r="G413" s="20"/>
    </row>
    <row r="414" spans="6:7" s="18" customFormat="1" ht="14.25" customHeight="1" x14ac:dyDescent="0.35">
      <c r="F414" s="19"/>
      <c r="G414" s="20"/>
    </row>
    <row r="415" spans="6:7" s="18" customFormat="1" ht="14.25" customHeight="1" x14ac:dyDescent="0.35">
      <c r="F415" s="19"/>
      <c r="G415" s="20"/>
    </row>
    <row r="416" spans="6:7" s="18" customFormat="1" ht="14.25" customHeight="1" x14ac:dyDescent="0.35">
      <c r="F416" s="19"/>
      <c r="G416" s="20"/>
    </row>
    <row r="417" spans="6:7" s="18" customFormat="1" ht="14.25" customHeight="1" x14ac:dyDescent="0.35">
      <c r="F417" s="19"/>
      <c r="G417" s="20"/>
    </row>
    <row r="418" spans="6:7" s="18" customFormat="1" ht="14.25" customHeight="1" x14ac:dyDescent="0.35">
      <c r="F418" s="19"/>
      <c r="G418" s="20"/>
    </row>
    <row r="419" spans="6:7" s="18" customFormat="1" ht="14.25" customHeight="1" x14ac:dyDescent="0.35">
      <c r="F419" s="19"/>
      <c r="G419" s="20"/>
    </row>
    <row r="420" spans="6:7" s="18" customFormat="1" ht="14.25" customHeight="1" x14ac:dyDescent="0.35">
      <c r="F420" s="19"/>
      <c r="G420" s="20"/>
    </row>
    <row r="421" spans="6:7" s="18" customFormat="1" ht="14.25" customHeight="1" x14ac:dyDescent="0.35">
      <c r="F421" s="19"/>
      <c r="G421" s="20"/>
    </row>
    <row r="422" spans="6:7" s="18" customFormat="1" ht="14.25" customHeight="1" x14ac:dyDescent="0.35">
      <c r="F422" s="19"/>
      <c r="G422" s="20"/>
    </row>
    <row r="423" spans="6:7" s="18" customFormat="1" ht="14.25" customHeight="1" x14ac:dyDescent="0.35">
      <c r="F423" s="19"/>
      <c r="G423" s="20"/>
    </row>
    <row r="424" spans="6:7" s="18" customFormat="1" ht="14.25" customHeight="1" x14ac:dyDescent="0.35">
      <c r="F424" s="19"/>
      <c r="G424" s="20"/>
    </row>
    <row r="425" spans="6:7" s="18" customFormat="1" ht="14.25" customHeight="1" x14ac:dyDescent="0.35">
      <c r="F425" s="19"/>
      <c r="G425" s="20"/>
    </row>
    <row r="426" spans="6:7" s="18" customFormat="1" ht="14.25" customHeight="1" x14ac:dyDescent="0.35">
      <c r="F426" s="19"/>
      <c r="G426" s="20"/>
    </row>
    <row r="427" spans="6:7" s="18" customFormat="1" ht="14.25" customHeight="1" x14ac:dyDescent="0.35">
      <c r="F427" s="19"/>
      <c r="G427" s="20"/>
    </row>
    <row r="428" spans="6:7" s="18" customFormat="1" ht="14.25" customHeight="1" x14ac:dyDescent="0.35">
      <c r="F428" s="19"/>
      <c r="G428" s="20"/>
    </row>
    <row r="429" spans="6:7" s="18" customFormat="1" ht="14.25" customHeight="1" x14ac:dyDescent="0.35">
      <c r="F429" s="19"/>
      <c r="G429" s="20"/>
    </row>
    <row r="430" spans="6:7" s="18" customFormat="1" ht="14.25" customHeight="1" x14ac:dyDescent="0.35">
      <c r="F430" s="19"/>
      <c r="G430" s="20"/>
    </row>
    <row r="431" spans="6:7" s="18" customFormat="1" ht="14.25" customHeight="1" x14ac:dyDescent="0.35">
      <c r="F431" s="19"/>
      <c r="G431" s="20"/>
    </row>
    <row r="432" spans="6:7" s="18" customFormat="1" ht="14.25" customHeight="1" x14ac:dyDescent="0.35">
      <c r="F432" s="19"/>
      <c r="G432" s="20"/>
    </row>
    <row r="433" spans="6:7" s="18" customFormat="1" ht="14.25" customHeight="1" x14ac:dyDescent="0.35">
      <c r="F433" s="19"/>
      <c r="G433" s="20"/>
    </row>
    <row r="434" spans="6:7" s="18" customFormat="1" ht="14.25" customHeight="1" x14ac:dyDescent="0.35">
      <c r="F434" s="19"/>
      <c r="G434" s="20"/>
    </row>
    <row r="435" spans="6:7" s="18" customFormat="1" ht="14.25" customHeight="1" x14ac:dyDescent="0.35">
      <c r="F435" s="19"/>
      <c r="G435" s="20"/>
    </row>
    <row r="436" spans="6:7" s="18" customFormat="1" ht="14.25" customHeight="1" x14ac:dyDescent="0.35">
      <c r="F436" s="19"/>
      <c r="G436" s="20"/>
    </row>
    <row r="437" spans="6:7" s="18" customFormat="1" ht="14.25" customHeight="1" x14ac:dyDescent="0.35">
      <c r="F437" s="19"/>
      <c r="G437" s="20"/>
    </row>
    <row r="438" spans="6:7" s="18" customFormat="1" ht="14.25" customHeight="1" x14ac:dyDescent="0.35">
      <c r="F438" s="19"/>
      <c r="G438" s="20"/>
    </row>
    <row r="439" spans="6:7" s="18" customFormat="1" ht="14.25" customHeight="1" x14ac:dyDescent="0.35">
      <c r="F439" s="19"/>
      <c r="G439" s="20"/>
    </row>
    <row r="440" spans="6:7" s="18" customFormat="1" ht="14.25" customHeight="1" x14ac:dyDescent="0.35">
      <c r="F440" s="19"/>
      <c r="G440" s="20"/>
    </row>
    <row r="441" spans="6:7" s="18" customFormat="1" ht="14.25" customHeight="1" x14ac:dyDescent="0.35">
      <c r="F441" s="19"/>
      <c r="G441" s="20"/>
    </row>
    <row r="442" spans="6:7" s="18" customFormat="1" ht="14.25" customHeight="1" x14ac:dyDescent="0.35">
      <c r="F442" s="19"/>
      <c r="G442" s="20"/>
    </row>
    <row r="443" spans="6:7" s="18" customFormat="1" ht="14.25" customHeight="1" x14ac:dyDescent="0.35">
      <c r="F443" s="19"/>
      <c r="G443" s="20"/>
    </row>
    <row r="444" spans="6:7" s="18" customFormat="1" ht="14.25" customHeight="1" x14ac:dyDescent="0.35">
      <c r="F444" s="19"/>
      <c r="G444" s="20"/>
    </row>
    <row r="445" spans="6:7" s="18" customFormat="1" ht="14.25" customHeight="1" x14ac:dyDescent="0.35">
      <c r="F445" s="19"/>
      <c r="G445" s="20"/>
    </row>
    <row r="446" spans="6:7" s="18" customFormat="1" ht="14.25" customHeight="1" x14ac:dyDescent="0.35">
      <c r="F446" s="19"/>
      <c r="G446" s="20"/>
    </row>
    <row r="447" spans="6:7" s="18" customFormat="1" ht="14.25" customHeight="1" x14ac:dyDescent="0.35">
      <c r="F447" s="19"/>
      <c r="G447" s="20"/>
    </row>
    <row r="448" spans="6:7" s="18" customFormat="1" ht="14.25" customHeight="1" x14ac:dyDescent="0.35">
      <c r="F448" s="19"/>
      <c r="G448" s="20"/>
    </row>
    <row r="449" spans="6:7" s="18" customFormat="1" ht="14.25" customHeight="1" x14ac:dyDescent="0.35">
      <c r="F449" s="19"/>
      <c r="G449" s="20"/>
    </row>
    <row r="450" spans="6:7" s="18" customFormat="1" ht="14.25" customHeight="1" x14ac:dyDescent="0.35">
      <c r="F450" s="19"/>
      <c r="G450" s="20"/>
    </row>
    <row r="451" spans="6:7" s="18" customFormat="1" ht="14.25" customHeight="1" x14ac:dyDescent="0.35">
      <c r="F451" s="19"/>
      <c r="G451" s="20"/>
    </row>
    <row r="452" spans="6:7" s="18" customFormat="1" ht="14.25" customHeight="1" x14ac:dyDescent="0.35">
      <c r="F452" s="19"/>
      <c r="G452" s="20"/>
    </row>
    <row r="453" spans="6:7" s="18" customFormat="1" ht="14.25" customHeight="1" x14ac:dyDescent="0.35">
      <c r="F453" s="19"/>
      <c r="G453" s="20"/>
    </row>
    <row r="454" spans="6:7" s="18" customFormat="1" ht="14.25" customHeight="1" x14ac:dyDescent="0.35">
      <c r="F454" s="19"/>
      <c r="G454" s="20"/>
    </row>
    <row r="455" spans="6:7" s="18" customFormat="1" ht="14.25" customHeight="1" x14ac:dyDescent="0.35">
      <c r="F455" s="19"/>
      <c r="G455" s="20"/>
    </row>
    <row r="456" spans="6:7" s="18" customFormat="1" ht="14.25" customHeight="1" x14ac:dyDescent="0.35">
      <c r="F456" s="19"/>
      <c r="G456" s="20"/>
    </row>
    <row r="457" spans="6:7" s="18" customFormat="1" ht="14.25" customHeight="1" x14ac:dyDescent="0.35">
      <c r="F457" s="19"/>
      <c r="G457" s="20"/>
    </row>
    <row r="458" spans="6:7" s="18" customFormat="1" ht="14.25" customHeight="1" x14ac:dyDescent="0.35">
      <c r="F458" s="19"/>
      <c r="G458" s="20"/>
    </row>
    <row r="459" spans="6:7" s="18" customFormat="1" ht="14.25" customHeight="1" x14ac:dyDescent="0.35">
      <c r="F459" s="19"/>
      <c r="G459" s="20"/>
    </row>
    <row r="460" spans="6:7" s="18" customFormat="1" ht="14.25" customHeight="1" x14ac:dyDescent="0.35">
      <c r="F460" s="19"/>
      <c r="G460" s="20"/>
    </row>
    <row r="461" spans="6:7" s="18" customFormat="1" ht="14.25" customHeight="1" x14ac:dyDescent="0.35">
      <c r="F461" s="19"/>
      <c r="G461" s="20"/>
    </row>
    <row r="462" spans="6:7" s="18" customFormat="1" ht="14.25" customHeight="1" x14ac:dyDescent="0.35">
      <c r="F462" s="19"/>
      <c r="G462" s="20"/>
    </row>
    <row r="463" spans="6:7" s="18" customFormat="1" ht="14.25" customHeight="1" x14ac:dyDescent="0.35">
      <c r="F463" s="19"/>
      <c r="G463" s="20"/>
    </row>
    <row r="464" spans="6:7" s="18" customFormat="1" ht="14.25" customHeight="1" x14ac:dyDescent="0.35">
      <c r="F464" s="19"/>
      <c r="G464" s="20"/>
    </row>
    <row r="465" spans="6:7" s="18" customFormat="1" ht="14.25" customHeight="1" x14ac:dyDescent="0.35">
      <c r="F465" s="19"/>
      <c r="G465" s="20"/>
    </row>
    <row r="466" spans="6:7" s="18" customFormat="1" ht="14.25" customHeight="1" x14ac:dyDescent="0.35">
      <c r="F466" s="19"/>
      <c r="G466" s="20"/>
    </row>
    <row r="467" spans="6:7" s="18" customFormat="1" ht="14.25" customHeight="1" x14ac:dyDescent="0.35">
      <c r="F467" s="19"/>
      <c r="G467" s="20"/>
    </row>
    <row r="468" spans="6:7" s="18" customFormat="1" ht="14.25" customHeight="1" x14ac:dyDescent="0.35">
      <c r="F468" s="19"/>
      <c r="G468" s="20"/>
    </row>
    <row r="469" spans="6:7" s="18" customFormat="1" ht="14.25" customHeight="1" x14ac:dyDescent="0.35">
      <c r="F469" s="19"/>
      <c r="G469" s="20"/>
    </row>
    <row r="470" spans="6:7" s="18" customFormat="1" ht="14.25" customHeight="1" x14ac:dyDescent="0.35">
      <c r="F470" s="19"/>
      <c r="G470" s="20"/>
    </row>
    <row r="471" spans="6:7" s="18" customFormat="1" ht="14.25" customHeight="1" x14ac:dyDescent="0.35">
      <c r="F471" s="19"/>
      <c r="G471" s="20"/>
    </row>
    <row r="472" spans="6:7" s="18" customFormat="1" ht="14.25" customHeight="1" x14ac:dyDescent="0.35">
      <c r="F472" s="19"/>
      <c r="G472" s="20"/>
    </row>
    <row r="473" spans="6:7" s="18" customFormat="1" ht="14.25" customHeight="1" x14ac:dyDescent="0.35">
      <c r="F473" s="19"/>
      <c r="G473" s="20"/>
    </row>
    <row r="474" spans="6:7" s="18" customFormat="1" ht="14.25" customHeight="1" x14ac:dyDescent="0.35">
      <c r="F474" s="19"/>
      <c r="G474" s="20"/>
    </row>
    <row r="475" spans="6:7" s="18" customFormat="1" ht="14.25" customHeight="1" x14ac:dyDescent="0.35">
      <c r="F475" s="19"/>
      <c r="G475" s="20"/>
    </row>
    <row r="476" spans="6:7" s="18" customFormat="1" ht="14.25" customHeight="1" x14ac:dyDescent="0.35">
      <c r="F476" s="19"/>
      <c r="G476" s="20"/>
    </row>
    <row r="477" spans="6:7" s="18" customFormat="1" ht="14.25" customHeight="1" x14ac:dyDescent="0.35">
      <c r="F477" s="19"/>
      <c r="G477" s="20"/>
    </row>
    <row r="478" spans="6:7" s="18" customFormat="1" ht="14.25" customHeight="1" x14ac:dyDescent="0.35">
      <c r="F478" s="19"/>
      <c r="G478" s="20"/>
    </row>
    <row r="479" spans="6:7" s="18" customFormat="1" ht="14.25" customHeight="1" x14ac:dyDescent="0.35">
      <c r="F479" s="19"/>
      <c r="G479" s="20"/>
    </row>
    <row r="480" spans="6:7" s="18" customFormat="1" ht="14.25" customHeight="1" x14ac:dyDescent="0.35">
      <c r="F480" s="19"/>
      <c r="G480" s="20"/>
    </row>
    <row r="481" spans="6:7" s="18" customFormat="1" ht="14.25" customHeight="1" x14ac:dyDescent="0.35">
      <c r="F481" s="19"/>
      <c r="G481" s="20"/>
    </row>
    <row r="482" spans="6:7" s="18" customFormat="1" ht="14.25" customHeight="1" x14ac:dyDescent="0.35">
      <c r="F482" s="19"/>
      <c r="G482" s="20"/>
    </row>
    <row r="483" spans="6:7" s="18" customFormat="1" ht="14.25" customHeight="1" x14ac:dyDescent="0.35">
      <c r="F483" s="19"/>
      <c r="G483" s="20"/>
    </row>
    <row r="484" spans="6:7" s="18" customFormat="1" ht="14.25" customHeight="1" x14ac:dyDescent="0.35">
      <c r="F484" s="19"/>
      <c r="G484" s="20"/>
    </row>
    <row r="485" spans="6:7" s="18" customFormat="1" ht="14.25" customHeight="1" x14ac:dyDescent="0.35">
      <c r="F485" s="19"/>
      <c r="G485" s="20"/>
    </row>
    <row r="486" spans="6:7" s="18" customFormat="1" ht="14.25" customHeight="1" x14ac:dyDescent="0.35">
      <c r="F486" s="19"/>
      <c r="G486" s="20"/>
    </row>
    <row r="487" spans="6:7" s="18" customFormat="1" ht="14.25" customHeight="1" x14ac:dyDescent="0.35">
      <c r="F487" s="19"/>
      <c r="G487" s="20"/>
    </row>
    <row r="488" spans="6:7" s="18" customFormat="1" ht="14.25" customHeight="1" x14ac:dyDescent="0.35">
      <c r="F488" s="19"/>
      <c r="G488" s="20"/>
    </row>
    <row r="489" spans="6:7" s="18" customFormat="1" ht="14.25" customHeight="1" x14ac:dyDescent="0.35">
      <c r="F489" s="19"/>
      <c r="G489" s="20"/>
    </row>
    <row r="490" spans="6:7" s="18" customFormat="1" ht="14.25" customHeight="1" x14ac:dyDescent="0.35">
      <c r="F490" s="19"/>
      <c r="G490" s="20"/>
    </row>
    <row r="491" spans="6:7" ht="14.25" customHeight="1" x14ac:dyDescent="0.35">
      <c r="F491" s="2"/>
      <c r="G491" s="3"/>
    </row>
    <row r="492" spans="6:7" ht="14.25" customHeight="1" x14ac:dyDescent="0.35">
      <c r="F492" s="2"/>
      <c r="G492" s="3"/>
    </row>
    <row r="493" spans="6:7" ht="14.25" customHeight="1" x14ac:dyDescent="0.35">
      <c r="F493" s="2"/>
      <c r="G493" s="3"/>
    </row>
    <row r="494" spans="6:7" ht="14.25" customHeight="1" x14ac:dyDescent="0.35">
      <c r="F494" s="2"/>
      <c r="G494" s="3"/>
    </row>
    <row r="495" spans="6:7" ht="14.25" customHeight="1" x14ac:dyDescent="0.35">
      <c r="F495" s="2"/>
      <c r="G495" s="3"/>
    </row>
    <row r="496" spans="6:7" ht="14.25" customHeight="1" x14ac:dyDescent="0.35">
      <c r="F496" s="2"/>
      <c r="G496" s="3"/>
    </row>
    <row r="497" spans="6:7" ht="14.25" customHeight="1" x14ac:dyDescent="0.35">
      <c r="F497" s="2"/>
      <c r="G497" s="3"/>
    </row>
    <row r="498" spans="6:7" ht="14.25" customHeight="1" x14ac:dyDescent="0.35">
      <c r="F498" s="2"/>
      <c r="G498" s="3"/>
    </row>
    <row r="499" spans="6:7" ht="14.25" customHeight="1" x14ac:dyDescent="0.35">
      <c r="F499" s="2"/>
      <c r="G499" s="3"/>
    </row>
    <row r="500" spans="6:7" ht="14.25" customHeight="1" x14ac:dyDescent="0.35">
      <c r="F500" s="2"/>
      <c r="G500" s="3"/>
    </row>
    <row r="501" spans="6:7" ht="14.25" customHeight="1" x14ac:dyDescent="0.35">
      <c r="F501" s="2"/>
      <c r="G501" s="3"/>
    </row>
    <row r="502" spans="6:7" ht="14.25" customHeight="1" x14ac:dyDescent="0.35">
      <c r="F502" s="2"/>
      <c r="G502" s="3"/>
    </row>
    <row r="503" spans="6:7" ht="14.25" customHeight="1" x14ac:dyDescent="0.35">
      <c r="F503" s="2"/>
      <c r="G503" s="3"/>
    </row>
    <row r="504" spans="6:7" ht="14.25" customHeight="1" x14ac:dyDescent="0.35">
      <c r="F504" s="2"/>
      <c r="G504" s="3"/>
    </row>
    <row r="505" spans="6:7" ht="14.25" customHeight="1" x14ac:dyDescent="0.35">
      <c r="F505" s="2"/>
      <c r="G505" s="3"/>
    </row>
    <row r="506" spans="6:7" ht="14.25" customHeight="1" x14ac:dyDescent="0.35">
      <c r="F506" s="2"/>
      <c r="G506" s="3"/>
    </row>
    <row r="507" spans="6:7" ht="14.25" customHeight="1" x14ac:dyDescent="0.35">
      <c r="F507" s="2"/>
      <c r="G507" s="3"/>
    </row>
    <row r="508" spans="6:7" ht="14.25" customHeight="1" x14ac:dyDescent="0.35">
      <c r="F508" s="2"/>
      <c r="G508" s="3"/>
    </row>
    <row r="509" spans="6:7" ht="14.25" customHeight="1" x14ac:dyDescent="0.35">
      <c r="F509" s="2"/>
      <c r="G509" s="3"/>
    </row>
    <row r="510" spans="6:7" ht="14.25" customHeight="1" x14ac:dyDescent="0.35">
      <c r="F510" s="2"/>
      <c r="G510" s="3"/>
    </row>
    <row r="511" spans="6:7" ht="14.25" customHeight="1" x14ac:dyDescent="0.35">
      <c r="F511" s="2"/>
      <c r="G511" s="3"/>
    </row>
    <row r="512" spans="6:7" ht="14.25" customHeight="1" x14ac:dyDescent="0.35">
      <c r="F512" s="2"/>
      <c r="G512" s="3"/>
    </row>
    <row r="513" spans="6:7" ht="14.25" customHeight="1" x14ac:dyDescent="0.35">
      <c r="F513" s="2"/>
      <c r="G513" s="3"/>
    </row>
    <row r="514" spans="6:7" ht="14.25" customHeight="1" x14ac:dyDescent="0.35">
      <c r="F514" s="2"/>
      <c r="G514" s="3"/>
    </row>
    <row r="515" spans="6:7" ht="14.25" customHeight="1" x14ac:dyDescent="0.35">
      <c r="F515" s="2"/>
      <c r="G515" s="3"/>
    </row>
    <row r="516" spans="6:7" ht="14.25" customHeight="1" x14ac:dyDescent="0.35">
      <c r="F516" s="2"/>
      <c r="G516" s="3"/>
    </row>
    <row r="517" spans="6:7" ht="14.25" customHeight="1" x14ac:dyDescent="0.35">
      <c r="F517" s="2"/>
      <c r="G517" s="3"/>
    </row>
    <row r="518" spans="6:7" ht="14.25" customHeight="1" x14ac:dyDescent="0.35">
      <c r="F518" s="2"/>
      <c r="G518" s="3"/>
    </row>
    <row r="519" spans="6:7" ht="14.25" customHeight="1" x14ac:dyDescent="0.35">
      <c r="F519" s="2"/>
      <c r="G519" s="3"/>
    </row>
    <row r="520" spans="6:7" ht="14.25" customHeight="1" x14ac:dyDescent="0.35">
      <c r="F520" s="2"/>
      <c r="G520" s="3"/>
    </row>
    <row r="521" spans="6:7" ht="14.25" customHeight="1" x14ac:dyDescent="0.35">
      <c r="F521" s="2"/>
      <c r="G521" s="3"/>
    </row>
    <row r="522" spans="6:7" ht="14.25" customHeight="1" x14ac:dyDescent="0.35">
      <c r="F522" s="2"/>
      <c r="G522" s="3"/>
    </row>
    <row r="523" spans="6:7" ht="14.25" customHeight="1" x14ac:dyDescent="0.35">
      <c r="F523" s="2"/>
      <c r="G523" s="3"/>
    </row>
    <row r="524" spans="6:7" ht="14.25" customHeight="1" x14ac:dyDescent="0.35">
      <c r="F524" s="2"/>
      <c r="G524" s="3"/>
    </row>
    <row r="525" spans="6:7" ht="14.25" customHeight="1" x14ac:dyDescent="0.35">
      <c r="F525" s="2"/>
      <c r="G525" s="3"/>
    </row>
    <row r="526" spans="6:7" ht="14.25" customHeight="1" x14ac:dyDescent="0.35">
      <c r="F526" s="2"/>
      <c r="G526" s="3"/>
    </row>
    <row r="527" spans="6:7" ht="14.25" customHeight="1" x14ac:dyDescent="0.35">
      <c r="F527" s="2"/>
      <c r="G527" s="3"/>
    </row>
    <row r="528" spans="6:7" ht="14.25" customHeight="1" x14ac:dyDescent="0.35">
      <c r="F528" s="2"/>
      <c r="G528" s="3"/>
    </row>
    <row r="529" spans="6:7" ht="14.25" customHeight="1" x14ac:dyDescent="0.35">
      <c r="F529" s="2"/>
      <c r="G529" s="3"/>
    </row>
    <row r="530" spans="6:7" ht="14.25" customHeight="1" x14ac:dyDescent="0.35">
      <c r="F530" s="2"/>
      <c r="G530" s="3"/>
    </row>
    <row r="531" spans="6:7" ht="14.25" customHeight="1" x14ac:dyDescent="0.35">
      <c r="F531" s="2"/>
      <c r="G531" s="3"/>
    </row>
    <row r="532" spans="6:7" ht="14.25" customHeight="1" x14ac:dyDescent="0.35">
      <c r="F532" s="2"/>
      <c r="G532" s="3"/>
    </row>
    <row r="533" spans="6:7" ht="14.25" customHeight="1" x14ac:dyDescent="0.35">
      <c r="F533" s="2"/>
      <c r="G533" s="3"/>
    </row>
    <row r="534" spans="6:7" ht="14.25" customHeight="1" x14ac:dyDescent="0.35">
      <c r="F534" s="2"/>
      <c r="G534" s="3"/>
    </row>
    <row r="535" spans="6:7" ht="14.25" customHeight="1" x14ac:dyDescent="0.35">
      <c r="F535" s="2"/>
      <c r="G535" s="3"/>
    </row>
    <row r="536" spans="6:7" ht="14.25" customHeight="1" x14ac:dyDescent="0.35">
      <c r="F536" s="2"/>
      <c r="G536" s="3"/>
    </row>
    <row r="537" spans="6:7" ht="14.25" customHeight="1" x14ac:dyDescent="0.35">
      <c r="F537" s="2"/>
      <c r="G537" s="3"/>
    </row>
    <row r="538" spans="6:7" ht="14.25" customHeight="1" x14ac:dyDescent="0.35">
      <c r="F538" s="2"/>
      <c r="G538" s="3"/>
    </row>
    <row r="539" spans="6:7" ht="14.25" customHeight="1" x14ac:dyDescent="0.35">
      <c r="F539" s="2"/>
      <c r="G539" s="3"/>
    </row>
    <row r="540" spans="6:7" ht="14.25" customHeight="1" x14ac:dyDescent="0.35">
      <c r="F540" s="2"/>
      <c r="G540" s="3"/>
    </row>
    <row r="541" spans="6:7" ht="14.25" customHeight="1" x14ac:dyDescent="0.35">
      <c r="F541" s="2"/>
      <c r="G541" s="3"/>
    </row>
    <row r="542" spans="6:7" ht="14.25" customHeight="1" x14ac:dyDescent="0.35">
      <c r="F542" s="2"/>
      <c r="G542" s="3"/>
    </row>
    <row r="543" spans="6:7" ht="14.25" customHeight="1" x14ac:dyDescent="0.35">
      <c r="F543" s="2"/>
      <c r="G543" s="3"/>
    </row>
    <row r="544" spans="6:7" ht="14.25" customHeight="1" x14ac:dyDescent="0.35">
      <c r="F544" s="2"/>
      <c r="G544" s="3"/>
    </row>
    <row r="545" spans="6:7" ht="14.25" customHeight="1" x14ac:dyDescent="0.35">
      <c r="F545" s="2"/>
      <c r="G545" s="3"/>
    </row>
    <row r="546" spans="6:7" ht="14.25" customHeight="1" x14ac:dyDescent="0.35">
      <c r="F546" s="2"/>
      <c r="G546" s="3"/>
    </row>
    <row r="547" spans="6:7" ht="14.25" customHeight="1" x14ac:dyDescent="0.35">
      <c r="F547" s="2"/>
      <c r="G547" s="3"/>
    </row>
    <row r="548" spans="6:7" ht="14.25" customHeight="1" x14ac:dyDescent="0.35">
      <c r="F548" s="2"/>
      <c r="G548" s="3"/>
    </row>
    <row r="549" spans="6:7" ht="14.25" customHeight="1" x14ac:dyDescent="0.35">
      <c r="F549" s="2"/>
      <c r="G549" s="3"/>
    </row>
    <row r="550" spans="6:7" ht="14.25" customHeight="1" x14ac:dyDescent="0.35">
      <c r="F550" s="2"/>
      <c r="G550" s="3"/>
    </row>
    <row r="551" spans="6:7" ht="14.25" customHeight="1" x14ac:dyDescent="0.35">
      <c r="F551" s="2"/>
      <c r="G551" s="3"/>
    </row>
    <row r="552" spans="6:7" ht="14.25" customHeight="1" x14ac:dyDescent="0.35">
      <c r="F552" s="2"/>
      <c r="G552" s="3"/>
    </row>
    <row r="553" spans="6:7" ht="14.25" customHeight="1" x14ac:dyDescent="0.35">
      <c r="F553" s="2"/>
      <c r="G553" s="3"/>
    </row>
    <row r="554" spans="6:7" ht="14.25" customHeight="1" x14ac:dyDescent="0.35">
      <c r="F554" s="2"/>
      <c r="G554" s="3"/>
    </row>
    <row r="555" spans="6:7" ht="14.25" customHeight="1" x14ac:dyDescent="0.35">
      <c r="F555" s="2"/>
      <c r="G555" s="3"/>
    </row>
    <row r="556" spans="6:7" ht="14.25" customHeight="1" x14ac:dyDescent="0.35">
      <c r="F556" s="2"/>
      <c r="G556" s="3"/>
    </row>
    <row r="557" spans="6:7" ht="14.25" customHeight="1" x14ac:dyDescent="0.35">
      <c r="F557" s="2"/>
      <c r="G557" s="3"/>
    </row>
    <row r="558" spans="6:7" ht="14.25" customHeight="1" x14ac:dyDescent="0.35">
      <c r="F558" s="2"/>
      <c r="G558" s="3"/>
    </row>
    <row r="559" spans="6:7" ht="14.25" customHeight="1" x14ac:dyDescent="0.35">
      <c r="F559" s="2"/>
      <c r="G559" s="3"/>
    </row>
    <row r="560" spans="6:7" ht="14.25" customHeight="1" x14ac:dyDescent="0.35">
      <c r="F560" s="2"/>
      <c r="G560" s="3"/>
    </row>
    <row r="561" spans="6:7" ht="14.25" customHeight="1" x14ac:dyDescent="0.35">
      <c r="F561" s="2"/>
      <c r="G561" s="3"/>
    </row>
    <row r="562" spans="6:7" ht="14.25" customHeight="1" x14ac:dyDescent="0.35">
      <c r="F562" s="2"/>
      <c r="G562" s="3"/>
    </row>
    <row r="563" spans="6:7" ht="14.25" customHeight="1" x14ac:dyDescent="0.35">
      <c r="F563" s="2"/>
      <c r="G563" s="3"/>
    </row>
    <row r="564" spans="6:7" ht="14.25" customHeight="1" x14ac:dyDescent="0.35">
      <c r="F564" s="2"/>
      <c r="G564" s="3"/>
    </row>
    <row r="565" spans="6:7" ht="14.25" customHeight="1" x14ac:dyDescent="0.35">
      <c r="F565" s="2"/>
      <c r="G565" s="3"/>
    </row>
    <row r="566" spans="6:7" ht="14.25" customHeight="1" x14ac:dyDescent="0.35">
      <c r="F566" s="2"/>
      <c r="G566" s="3"/>
    </row>
    <row r="567" spans="6:7" ht="14.25" customHeight="1" x14ac:dyDescent="0.35">
      <c r="F567" s="2"/>
      <c r="G567" s="3"/>
    </row>
    <row r="568" spans="6:7" ht="14.25" customHeight="1" x14ac:dyDescent="0.35">
      <c r="F568" s="2"/>
      <c r="G568" s="3"/>
    </row>
    <row r="569" spans="6:7" ht="14.25" customHeight="1" x14ac:dyDescent="0.35">
      <c r="F569" s="2"/>
      <c r="G569" s="3"/>
    </row>
    <row r="570" spans="6:7" ht="14.25" customHeight="1" x14ac:dyDescent="0.35">
      <c r="F570" s="2"/>
      <c r="G570" s="3"/>
    </row>
    <row r="571" spans="6:7" ht="14.25" customHeight="1" x14ac:dyDescent="0.35">
      <c r="F571" s="2"/>
      <c r="G571" s="3"/>
    </row>
    <row r="572" spans="6:7" ht="14.25" customHeight="1" x14ac:dyDescent="0.35">
      <c r="F572" s="2"/>
      <c r="G572" s="3"/>
    </row>
    <row r="573" spans="6:7" ht="14.25" customHeight="1" x14ac:dyDescent="0.35">
      <c r="F573" s="2"/>
      <c r="G573" s="3"/>
    </row>
    <row r="574" spans="6:7" ht="14.25" customHeight="1" x14ac:dyDescent="0.35">
      <c r="F574" s="2"/>
      <c r="G574" s="3"/>
    </row>
    <row r="575" spans="6:7" ht="14.25" customHeight="1" x14ac:dyDescent="0.35">
      <c r="F575" s="2"/>
      <c r="G575" s="3"/>
    </row>
    <row r="576" spans="6:7" ht="14.25" customHeight="1" x14ac:dyDescent="0.35">
      <c r="F576" s="2"/>
      <c r="G576" s="3"/>
    </row>
    <row r="577" spans="6:7" ht="14.25" customHeight="1" x14ac:dyDescent="0.35">
      <c r="F577" s="2"/>
      <c r="G577" s="3"/>
    </row>
    <row r="578" spans="6:7" ht="14.25" customHeight="1" x14ac:dyDescent="0.35">
      <c r="F578" s="2"/>
      <c r="G578" s="3"/>
    </row>
    <row r="579" spans="6:7" ht="14.25" customHeight="1" x14ac:dyDescent="0.35">
      <c r="F579" s="2"/>
      <c r="G579" s="3"/>
    </row>
    <row r="580" spans="6:7" ht="14.25" customHeight="1" x14ac:dyDescent="0.35">
      <c r="F580" s="2"/>
      <c r="G580" s="3"/>
    </row>
    <row r="581" spans="6:7" ht="14.25" customHeight="1" x14ac:dyDescent="0.35">
      <c r="F581" s="2"/>
      <c r="G581" s="3"/>
    </row>
    <row r="582" spans="6:7" ht="14.25" customHeight="1" x14ac:dyDescent="0.35">
      <c r="F582" s="2"/>
      <c r="G582" s="3"/>
    </row>
    <row r="583" spans="6:7" ht="14.25" customHeight="1" x14ac:dyDescent="0.35">
      <c r="F583" s="2"/>
      <c r="G583" s="3"/>
    </row>
    <row r="584" spans="6:7" ht="14.25" customHeight="1" x14ac:dyDescent="0.35">
      <c r="F584" s="2"/>
      <c r="G584" s="3"/>
    </row>
    <row r="585" spans="6:7" ht="14.25" customHeight="1" x14ac:dyDescent="0.35">
      <c r="F585" s="2"/>
      <c r="G585" s="3"/>
    </row>
    <row r="586" spans="6:7" ht="14.25" customHeight="1" x14ac:dyDescent="0.35">
      <c r="F586" s="2"/>
      <c r="G586" s="3"/>
    </row>
    <row r="587" spans="6:7" ht="14.25" customHeight="1" x14ac:dyDescent="0.35">
      <c r="F587" s="2"/>
      <c r="G587" s="3"/>
    </row>
    <row r="588" spans="6:7" ht="14.25" customHeight="1" x14ac:dyDescent="0.35">
      <c r="F588" s="2"/>
      <c r="G588" s="3"/>
    </row>
    <row r="589" spans="6:7" ht="14.25" customHeight="1" x14ac:dyDescent="0.35">
      <c r="F589" s="2"/>
      <c r="G589" s="3"/>
    </row>
    <row r="590" spans="6:7" ht="14.25" customHeight="1" x14ac:dyDescent="0.35">
      <c r="F590" s="2"/>
      <c r="G590" s="3"/>
    </row>
    <row r="591" spans="6:7" ht="14.25" customHeight="1" x14ac:dyDescent="0.35">
      <c r="F591" s="2"/>
      <c r="G591" s="3"/>
    </row>
    <row r="592" spans="6:7" ht="14.25" customHeight="1" x14ac:dyDescent="0.35">
      <c r="F592" s="2"/>
      <c r="G592" s="3"/>
    </row>
    <row r="593" spans="6:7" ht="14.25" customHeight="1" x14ac:dyDescent="0.35">
      <c r="F593" s="2"/>
      <c r="G593" s="3"/>
    </row>
    <row r="594" spans="6:7" ht="14.25" customHeight="1" x14ac:dyDescent="0.35">
      <c r="F594" s="2"/>
      <c r="G594" s="3"/>
    </row>
    <row r="595" spans="6:7" ht="14.25" customHeight="1" x14ac:dyDescent="0.35">
      <c r="F595" s="2"/>
      <c r="G595" s="3"/>
    </row>
    <row r="596" spans="6:7" ht="14.25" customHeight="1" x14ac:dyDescent="0.35">
      <c r="F596" s="2"/>
      <c r="G596" s="3"/>
    </row>
    <row r="597" spans="6:7" ht="14.25" customHeight="1" x14ac:dyDescent="0.35">
      <c r="F597" s="2"/>
      <c r="G597" s="3"/>
    </row>
    <row r="598" spans="6:7" ht="14.25" customHeight="1" x14ac:dyDescent="0.35">
      <c r="F598" s="2"/>
      <c r="G598" s="3"/>
    </row>
    <row r="599" spans="6:7" ht="14.25" customHeight="1" x14ac:dyDescent="0.35">
      <c r="F599" s="2"/>
      <c r="G599" s="3"/>
    </row>
    <row r="600" spans="6:7" ht="14.25" customHeight="1" x14ac:dyDescent="0.35">
      <c r="F600" s="2"/>
      <c r="G600" s="3"/>
    </row>
    <row r="601" spans="6:7" ht="14.25" customHeight="1" x14ac:dyDescent="0.35">
      <c r="F601" s="2"/>
      <c r="G601" s="3"/>
    </row>
    <row r="602" spans="6:7" ht="14.25" customHeight="1" x14ac:dyDescent="0.35">
      <c r="F602" s="2"/>
      <c r="G602" s="3"/>
    </row>
    <row r="603" spans="6:7" ht="14.25" customHeight="1" x14ac:dyDescent="0.35">
      <c r="F603" s="2"/>
      <c r="G603" s="3"/>
    </row>
    <row r="604" spans="6:7" ht="14.25" customHeight="1" x14ac:dyDescent="0.35">
      <c r="F604" s="2"/>
      <c r="G604" s="3"/>
    </row>
    <row r="605" spans="6:7" ht="14.25" customHeight="1" x14ac:dyDescent="0.35">
      <c r="F605" s="2"/>
      <c r="G605" s="3"/>
    </row>
    <row r="606" spans="6:7" ht="14.25" customHeight="1" x14ac:dyDescent="0.35">
      <c r="F606" s="2"/>
      <c r="G606" s="3"/>
    </row>
    <row r="607" spans="6:7" ht="14.25" customHeight="1" x14ac:dyDescent="0.35">
      <c r="F607" s="2"/>
      <c r="G607" s="3"/>
    </row>
    <row r="608" spans="6:7" ht="14.25" customHeight="1" x14ac:dyDescent="0.35">
      <c r="F608" s="2"/>
      <c r="G608" s="3"/>
    </row>
    <row r="609" spans="6:7" ht="14.25" customHeight="1" x14ac:dyDescent="0.35">
      <c r="F609" s="2"/>
      <c r="G609" s="3"/>
    </row>
    <row r="610" spans="6:7" ht="14.25" customHeight="1" x14ac:dyDescent="0.35">
      <c r="F610" s="2"/>
      <c r="G610" s="3"/>
    </row>
    <row r="611" spans="6:7" ht="14.25" customHeight="1" x14ac:dyDescent="0.35">
      <c r="F611" s="2"/>
      <c r="G611" s="3"/>
    </row>
    <row r="612" spans="6:7" ht="14.25" customHeight="1" x14ac:dyDescent="0.35">
      <c r="F612" s="2"/>
      <c r="G612" s="3"/>
    </row>
    <row r="613" spans="6:7" ht="14.25" customHeight="1" x14ac:dyDescent="0.35">
      <c r="F613" s="2"/>
      <c r="G613" s="3"/>
    </row>
    <row r="614" spans="6:7" ht="14.25" customHeight="1" x14ac:dyDescent="0.35">
      <c r="F614" s="2"/>
      <c r="G614" s="3"/>
    </row>
    <row r="615" spans="6:7" ht="14.25" customHeight="1" x14ac:dyDescent="0.35">
      <c r="F615" s="2"/>
      <c r="G615" s="3"/>
    </row>
    <row r="616" spans="6:7" ht="14.25" customHeight="1" x14ac:dyDescent="0.35">
      <c r="F616" s="2"/>
      <c r="G616" s="3"/>
    </row>
    <row r="617" spans="6:7" ht="14.25" customHeight="1" x14ac:dyDescent="0.35">
      <c r="F617" s="2"/>
      <c r="G617" s="3"/>
    </row>
    <row r="618" spans="6:7" ht="14.25" customHeight="1" x14ac:dyDescent="0.35">
      <c r="F618" s="2"/>
      <c r="G618" s="3"/>
    </row>
    <row r="619" spans="6:7" ht="14.25" customHeight="1" x14ac:dyDescent="0.35">
      <c r="F619" s="2"/>
      <c r="G619" s="3"/>
    </row>
    <row r="620" spans="6:7" ht="14.25" customHeight="1" x14ac:dyDescent="0.35">
      <c r="F620" s="2"/>
      <c r="G620" s="3"/>
    </row>
    <row r="621" spans="6:7" ht="14.25" customHeight="1" x14ac:dyDescent="0.35">
      <c r="F621" s="2"/>
      <c r="G621" s="3"/>
    </row>
    <row r="622" spans="6:7" ht="14.25" customHeight="1" x14ac:dyDescent="0.35">
      <c r="F622" s="2"/>
      <c r="G622" s="3"/>
    </row>
    <row r="623" spans="6:7" ht="14.25" customHeight="1" x14ac:dyDescent="0.35">
      <c r="F623" s="2"/>
      <c r="G623" s="3"/>
    </row>
    <row r="624" spans="6:7" ht="14.25" customHeight="1" x14ac:dyDescent="0.35">
      <c r="F624" s="2"/>
      <c r="G624" s="3"/>
    </row>
    <row r="625" spans="6:7" ht="14.25" customHeight="1" x14ac:dyDescent="0.35">
      <c r="F625" s="2"/>
      <c r="G625" s="3"/>
    </row>
    <row r="626" spans="6:7" ht="14.25" customHeight="1" x14ac:dyDescent="0.35">
      <c r="F626" s="2"/>
      <c r="G626" s="3"/>
    </row>
    <row r="627" spans="6:7" ht="14.25" customHeight="1" x14ac:dyDescent="0.35">
      <c r="F627" s="2"/>
      <c r="G627" s="3"/>
    </row>
    <row r="628" spans="6:7" ht="14.25" customHeight="1" x14ac:dyDescent="0.35">
      <c r="F628" s="2"/>
      <c r="G628" s="3"/>
    </row>
    <row r="629" spans="6:7" ht="14.25" customHeight="1" x14ac:dyDescent="0.35">
      <c r="F629" s="2"/>
      <c r="G629" s="3"/>
    </row>
    <row r="630" spans="6:7" ht="14.25" customHeight="1" x14ac:dyDescent="0.35">
      <c r="F630" s="2"/>
      <c r="G630" s="3"/>
    </row>
    <row r="631" spans="6:7" ht="14.25" customHeight="1" x14ac:dyDescent="0.35">
      <c r="F631" s="2"/>
      <c r="G631" s="3"/>
    </row>
    <row r="632" spans="6:7" ht="14.25" customHeight="1" x14ac:dyDescent="0.35">
      <c r="F632" s="2"/>
      <c r="G632" s="3"/>
    </row>
    <row r="633" spans="6:7" ht="14.25" customHeight="1" x14ac:dyDescent="0.35">
      <c r="F633" s="2"/>
      <c r="G633" s="3"/>
    </row>
    <row r="634" spans="6:7" ht="14.25" customHeight="1" x14ac:dyDescent="0.35">
      <c r="F634" s="2"/>
      <c r="G634" s="3"/>
    </row>
    <row r="635" spans="6:7" ht="14.25" customHeight="1" x14ac:dyDescent="0.35">
      <c r="F635" s="2"/>
      <c r="G635" s="3"/>
    </row>
    <row r="636" spans="6:7" ht="14.25" customHeight="1" x14ac:dyDescent="0.35">
      <c r="F636" s="2"/>
      <c r="G636" s="3"/>
    </row>
    <row r="637" spans="6:7" ht="14.25" customHeight="1" x14ac:dyDescent="0.35">
      <c r="F637" s="2"/>
      <c r="G637" s="3"/>
    </row>
    <row r="638" spans="6:7" ht="14.25" customHeight="1" x14ac:dyDescent="0.35">
      <c r="F638" s="2"/>
      <c r="G638" s="3"/>
    </row>
    <row r="639" spans="6:7" ht="14.25" customHeight="1" x14ac:dyDescent="0.35">
      <c r="F639" s="2"/>
      <c r="G639" s="3"/>
    </row>
    <row r="640" spans="6:7" ht="14.25" customHeight="1" x14ac:dyDescent="0.35">
      <c r="F640" s="2"/>
      <c r="G640" s="3"/>
    </row>
    <row r="641" spans="6:7" ht="14.25" customHeight="1" x14ac:dyDescent="0.35">
      <c r="F641" s="2"/>
      <c r="G641" s="3"/>
    </row>
    <row r="642" spans="6:7" ht="14.25" customHeight="1" x14ac:dyDescent="0.35">
      <c r="F642" s="2"/>
      <c r="G642" s="3"/>
    </row>
    <row r="643" spans="6:7" ht="14.25" customHeight="1" x14ac:dyDescent="0.35">
      <c r="F643" s="2"/>
      <c r="G643" s="3"/>
    </row>
    <row r="644" spans="6:7" ht="14.25" customHeight="1" x14ac:dyDescent="0.35">
      <c r="F644" s="2"/>
      <c r="G644" s="3"/>
    </row>
    <row r="645" spans="6:7" ht="14.25" customHeight="1" x14ac:dyDescent="0.35">
      <c r="F645" s="2"/>
      <c r="G645" s="3"/>
    </row>
    <row r="646" spans="6:7" ht="14.25" customHeight="1" x14ac:dyDescent="0.35">
      <c r="F646" s="2"/>
      <c r="G646" s="3"/>
    </row>
    <row r="647" spans="6:7" ht="14.25" customHeight="1" x14ac:dyDescent="0.35">
      <c r="F647" s="2"/>
      <c r="G647" s="3"/>
    </row>
    <row r="648" spans="6:7" ht="14.25" customHeight="1" x14ac:dyDescent="0.35">
      <c r="F648" s="2"/>
      <c r="G648" s="3"/>
    </row>
    <row r="649" spans="6:7" ht="14.25" customHeight="1" x14ac:dyDescent="0.35">
      <c r="F649" s="2"/>
      <c r="G649" s="3"/>
    </row>
    <row r="650" spans="6:7" ht="14.25" customHeight="1" x14ac:dyDescent="0.35">
      <c r="F650" s="2"/>
      <c r="G650" s="3"/>
    </row>
    <row r="651" spans="6:7" ht="14.25" customHeight="1" x14ac:dyDescent="0.35">
      <c r="F651" s="2"/>
      <c r="G651" s="3"/>
    </row>
    <row r="652" spans="6:7" ht="14.25" customHeight="1" x14ac:dyDescent="0.35">
      <c r="F652" s="2"/>
      <c r="G652" s="3"/>
    </row>
    <row r="653" spans="6:7" ht="14.25" customHeight="1" x14ac:dyDescent="0.35">
      <c r="F653" s="2"/>
      <c r="G653" s="3"/>
    </row>
    <row r="654" spans="6:7" ht="14.25" customHeight="1" x14ac:dyDescent="0.35">
      <c r="F654" s="2"/>
      <c r="G654" s="3"/>
    </row>
    <row r="655" spans="6:7" ht="14.25" customHeight="1" x14ac:dyDescent="0.35">
      <c r="F655" s="2"/>
      <c r="G655" s="3"/>
    </row>
    <row r="656" spans="6:7" ht="14.25" customHeight="1" x14ac:dyDescent="0.35">
      <c r="F656" s="2"/>
      <c r="G656" s="3"/>
    </row>
    <row r="657" spans="6:7" ht="14.25" customHeight="1" x14ac:dyDescent="0.35">
      <c r="F657" s="2"/>
      <c r="G657" s="3"/>
    </row>
    <row r="658" spans="6:7" ht="14.25" customHeight="1" x14ac:dyDescent="0.35">
      <c r="F658" s="2"/>
      <c r="G658" s="3"/>
    </row>
    <row r="659" spans="6:7" ht="14.25" customHeight="1" x14ac:dyDescent="0.35">
      <c r="F659" s="2"/>
      <c r="G659" s="3"/>
    </row>
    <row r="660" spans="6:7" ht="14.25" customHeight="1" x14ac:dyDescent="0.35">
      <c r="F660" s="2"/>
      <c r="G660" s="3"/>
    </row>
    <row r="661" spans="6:7" ht="14.25" customHeight="1" x14ac:dyDescent="0.35">
      <c r="F661" s="2"/>
      <c r="G661" s="3"/>
    </row>
    <row r="662" spans="6:7" ht="14.25" customHeight="1" x14ac:dyDescent="0.35">
      <c r="F662" s="2"/>
      <c r="G662" s="3"/>
    </row>
    <row r="663" spans="6:7" ht="14.25" customHeight="1" x14ac:dyDescent="0.35">
      <c r="F663" s="2"/>
      <c r="G663" s="3"/>
    </row>
    <row r="664" spans="6:7" ht="14.25" customHeight="1" x14ac:dyDescent="0.35">
      <c r="F664" s="2"/>
      <c r="G664" s="3"/>
    </row>
    <row r="665" spans="6:7" ht="14.25" customHeight="1" x14ac:dyDescent="0.35">
      <c r="F665" s="2"/>
      <c r="G665" s="3"/>
    </row>
    <row r="666" spans="6:7" ht="14.25" customHeight="1" x14ac:dyDescent="0.35">
      <c r="F666" s="2"/>
      <c r="G666" s="3"/>
    </row>
    <row r="667" spans="6:7" ht="14.25" customHeight="1" x14ac:dyDescent="0.35">
      <c r="F667" s="2"/>
      <c r="G667" s="3"/>
    </row>
    <row r="668" spans="6:7" ht="14.25" customHeight="1" x14ac:dyDescent="0.35">
      <c r="F668" s="2"/>
      <c r="G668" s="3"/>
    </row>
    <row r="669" spans="6:7" ht="14.25" customHeight="1" x14ac:dyDescent="0.35">
      <c r="F669" s="2"/>
      <c r="G669" s="3"/>
    </row>
    <row r="670" spans="6:7" ht="14.25" customHeight="1" x14ac:dyDescent="0.35">
      <c r="F670" s="2"/>
      <c r="G670" s="3"/>
    </row>
    <row r="671" spans="6:7" ht="14.25" customHeight="1" x14ac:dyDescent="0.35">
      <c r="F671" s="2"/>
      <c r="G671" s="3"/>
    </row>
    <row r="672" spans="6:7" ht="14.25" customHeight="1" x14ac:dyDescent="0.35">
      <c r="F672" s="2"/>
      <c r="G672" s="3"/>
    </row>
    <row r="673" spans="6:7" ht="14.25" customHeight="1" x14ac:dyDescent="0.35">
      <c r="F673" s="2"/>
      <c r="G673" s="3"/>
    </row>
    <row r="674" spans="6:7" ht="14.25" customHeight="1" x14ac:dyDescent="0.35">
      <c r="F674" s="2"/>
      <c r="G674" s="3"/>
    </row>
    <row r="675" spans="6:7" ht="14.25" customHeight="1" x14ac:dyDescent="0.35">
      <c r="F675" s="2"/>
      <c r="G675" s="3"/>
    </row>
    <row r="676" spans="6:7" ht="14.25" customHeight="1" x14ac:dyDescent="0.35">
      <c r="F676" s="2"/>
      <c r="G676" s="3"/>
    </row>
    <row r="677" spans="6:7" ht="14.25" customHeight="1" x14ac:dyDescent="0.35">
      <c r="F677" s="2"/>
      <c r="G677" s="3"/>
    </row>
    <row r="678" spans="6:7" ht="14.25" customHeight="1" x14ac:dyDescent="0.35">
      <c r="F678" s="2"/>
      <c r="G678" s="3"/>
    </row>
    <row r="679" spans="6:7" ht="14.25" customHeight="1" x14ac:dyDescent="0.35">
      <c r="F679" s="2"/>
      <c r="G679" s="3"/>
    </row>
    <row r="680" spans="6:7" ht="14.25" customHeight="1" x14ac:dyDescent="0.35">
      <c r="F680" s="2"/>
      <c r="G680" s="3"/>
    </row>
    <row r="681" spans="6:7" ht="14.25" customHeight="1" x14ac:dyDescent="0.35">
      <c r="F681" s="2"/>
      <c r="G681" s="3"/>
    </row>
    <row r="682" spans="6:7" ht="14.25" customHeight="1" x14ac:dyDescent="0.35">
      <c r="F682" s="2"/>
      <c r="G682" s="3"/>
    </row>
    <row r="683" spans="6:7" ht="14.25" customHeight="1" x14ac:dyDescent="0.35">
      <c r="F683" s="2"/>
      <c r="G683" s="3"/>
    </row>
    <row r="684" spans="6:7" ht="14.25" customHeight="1" x14ac:dyDescent="0.35">
      <c r="F684" s="2"/>
      <c r="G684" s="3"/>
    </row>
    <row r="685" spans="6:7" ht="14.25" customHeight="1" x14ac:dyDescent="0.35">
      <c r="F685" s="2"/>
      <c r="G685" s="3"/>
    </row>
    <row r="686" spans="6:7" ht="14.25" customHeight="1" x14ac:dyDescent="0.35">
      <c r="F686" s="2"/>
      <c r="G686" s="3"/>
    </row>
    <row r="687" spans="6:7" ht="14.25" customHeight="1" x14ac:dyDescent="0.35">
      <c r="F687" s="2"/>
      <c r="G687" s="3"/>
    </row>
    <row r="688" spans="6:7" ht="14.25" customHeight="1" x14ac:dyDescent="0.35">
      <c r="F688" s="2"/>
      <c r="G688" s="3"/>
    </row>
    <row r="689" spans="6:7" ht="14.25" customHeight="1" x14ac:dyDescent="0.35">
      <c r="F689" s="2"/>
      <c r="G689" s="3"/>
    </row>
    <row r="690" spans="6:7" ht="14.25" customHeight="1" x14ac:dyDescent="0.35">
      <c r="F690" s="2"/>
      <c r="G690" s="3"/>
    </row>
    <row r="691" spans="6:7" ht="14.25" customHeight="1" x14ac:dyDescent="0.35">
      <c r="F691" s="2"/>
      <c r="G691" s="3"/>
    </row>
    <row r="692" spans="6:7" ht="14.25" customHeight="1" x14ac:dyDescent="0.35">
      <c r="F692" s="2"/>
      <c r="G692" s="3"/>
    </row>
    <row r="693" spans="6:7" ht="14.25" customHeight="1" x14ac:dyDescent="0.35">
      <c r="F693" s="2"/>
      <c r="G693" s="3"/>
    </row>
    <row r="694" spans="6:7" ht="14.25" customHeight="1" x14ac:dyDescent="0.35">
      <c r="F694" s="2"/>
      <c r="G694" s="3"/>
    </row>
    <row r="695" spans="6:7" ht="14.25" customHeight="1" x14ac:dyDescent="0.35">
      <c r="F695" s="2"/>
      <c r="G695" s="3"/>
    </row>
    <row r="696" spans="6:7" ht="14.25" customHeight="1" x14ac:dyDescent="0.35">
      <c r="F696" s="2"/>
      <c r="G696" s="3"/>
    </row>
    <row r="697" spans="6:7" ht="14.25" customHeight="1" x14ac:dyDescent="0.35">
      <c r="F697" s="2"/>
      <c r="G697" s="3"/>
    </row>
    <row r="698" spans="6:7" ht="14.25" customHeight="1" x14ac:dyDescent="0.35">
      <c r="F698" s="2"/>
      <c r="G698" s="3"/>
    </row>
    <row r="699" spans="6:7" ht="14.25" customHeight="1" x14ac:dyDescent="0.35">
      <c r="F699" s="2"/>
      <c r="G699" s="3"/>
    </row>
    <row r="700" spans="6:7" ht="14.25" customHeight="1" x14ac:dyDescent="0.35">
      <c r="F700" s="2"/>
      <c r="G700" s="3"/>
    </row>
    <row r="701" spans="6:7" ht="14.25" customHeight="1" x14ac:dyDescent="0.35">
      <c r="F701" s="2"/>
      <c r="G701" s="3"/>
    </row>
    <row r="702" spans="6:7" ht="14.25" customHeight="1" x14ac:dyDescent="0.35">
      <c r="F702" s="2"/>
      <c r="G702" s="3"/>
    </row>
    <row r="703" spans="6:7" ht="14.25" customHeight="1" x14ac:dyDescent="0.35">
      <c r="F703" s="2"/>
      <c r="G703" s="3"/>
    </row>
    <row r="704" spans="6:7" ht="14.25" customHeight="1" x14ac:dyDescent="0.35">
      <c r="F704" s="2"/>
      <c r="G704" s="3"/>
    </row>
    <row r="705" spans="6:7" ht="14.25" customHeight="1" x14ac:dyDescent="0.35">
      <c r="F705" s="2"/>
      <c r="G705" s="3"/>
    </row>
    <row r="706" spans="6:7" ht="14.25" customHeight="1" x14ac:dyDescent="0.35">
      <c r="F706" s="2"/>
      <c r="G706" s="3"/>
    </row>
    <row r="707" spans="6:7" ht="14.25" customHeight="1" x14ac:dyDescent="0.35">
      <c r="F707" s="2"/>
      <c r="G707" s="3"/>
    </row>
    <row r="708" spans="6:7" ht="14.25" customHeight="1" x14ac:dyDescent="0.35">
      <c r="F708" s="2"/>
      <c r="G708" s="3"/>
    </row>
    <row r="709" spans="6:7" ht="14.25" customHeight="1" x14ac:dyDescent="0.35">
      <c r="F709" s="2"/>
      <c r="G709" s="3"/>
    </row>
    <row r="710" spans="6:7" ht="14.25" customHeight="1" x14ac:dyDescent="0.35">
      <c r="F710" s="2"/>
      <c r="G710" s="3"/>
    </row>
    <row r="711" spans="6:7" ht="14.25" customHeight="1" x14ac:dyDescent="0.35">
      <c r="F711" s="2"/>
      <c r="G711" s="3"/>
    </row>
    <row r="712" spans="6:7" ht="14.25" customHeight="1" x14ac:dyDescent="0.35">
      <c r="F712" s="2"/>
      <c r="G712" s="3"/>
    </row>
    <row r="713" spans="6:7" ht="14.25" customHeight="1" x14ac:dyDescent="0.35">
      <c r="F713" s="2"/>
      <c r="G713" s="3"/>
    </row>
    <row r="714" spans="6:7" ht="14.25" customHeight="1" x14ac:dyDescent="0.35">
      <c r="F714" s="2"/>
      <c r="G714" s="3"/>
    </row>
    <row r="715" spans="6:7" ht="14.25" customHeight="1" x14ac:dyDescent="0.35">
      <c r="F715" s="2"/>
      <c r="G715" s="3"/>
    </row>
    <row r="716" spans="6:7" ht="14.25" customHeight="1" x14ac:dyDescent="0.35">
      <c r="F716" s="2"/>
      <c r="G716" s="3"/>
    </row>
    <row r="717" spans="6:7" ht="14.25" customHeight="1" x14ac:dyDescent="0.35">
      <c r="F717" s="2"/>
      <c r="G717" s="3"/>
    </row>
    <row r="718" spans="6:7" ht="14.25" customHeight="1" x14ac:dyDescent="0.35">
      <c r="F718" s="2"/>
      <c r="G718" s="3"/>
    </row>
    <row r="719" spans="6:7" ht="14.25" customHeight="1" x14ac:dyDescent="0.35">
      <c r="F719" s="2"/>
      <c r="G719" s="3"/>
    </row>
    <row r="720" spans="6:7" ht="14.25" customHeight="1" x14ac:dyDescent="0.35">
      <c r="F720" s="2"/>
      <c r="G720" s="3"/>
    </row>
    <row r="721" spans="6:7" ht="14.25" customHeight="1" x14ac:dyDescent="0.35">
      <c r="F721" s="2"/>
      <c r="G721" s="3"/>
    </row>
    <row r="722" spans="6:7" ht="14.25" customHeight="1" x14ac:dyDescent="0.35">
      <c r="F722" s="2"/>
      <c r="G722" s="3"/>
    </row>
    <row r="723" spans="6:7" ht="14.25" customHeight="1" x14ac:dyDescent="0.35">
      <c r="F723" s="2"/>
      <c r="G723" s="3"/>
    </row>
    <row r="724" spans="6:7" ht="14.25" customHeight="1" x14ac:dyDescent="0.35">
      <c r="F724" s="2"/>
      <c r="G724" s="3"/>
    </row>
    <row r="725" spans="6:7" ht="14.25" customHeight="1" x14ac:dyDescent="0.35">
      <c r="F725" s="2"/>
      <c r="G725" s="3"/>
    </row>
    <row r="726" spans="6:7" ht="14.25" customHeight="1" x14ac:dyDescent="0.35">
      <c r="F726" s="2"/>
      <c r="G726" s="3"/>
    </row>
    <row r="727" spans="6:7" ht="14.25" customHeight="1" x14ac:dyDescent="0.35">
      <c r="F727" s="2"/>
      <c r="G727" s="3"/>
    </row>
    <row r="728" spans="6:7" ht="14.25" customHeight="1" x14ac:dyDescent="0.35">
      <c r="F728" s="2"/>
      <c r="G728" s="3"/>
    </row>
    <row r="729" spans="6:7" ht="14.25" customHeight="1" x14ac:dyDescent="0.35">
      <c r="F729" s="2"/>
      <c r="G729" s="3"/>
    </row>
    <row r="730" spans="6:7" ht="14.25" customHeight="1" x14ac:dyDescent="0.35">
      <c r="F730" s="2"/>
      <c r="G730" s="3"/>
    </row>
    <row r="731" spans="6:7" ht="14.25" customHeight="1" x14ac:dyDescent="0.35">
      <c r="F731" s="2"/>
      <c r="G731" s="3"/>
    </row>
    <row r="732" spans="6:7" ht="14.25" customHeight="1" x14ac:dyDescent="0.35">
      <c r="F732" s="2"/>
      <c r="G732" s="3"/>
    </row>
    <row r="733" spans="6:7" ht="14.25" customHeight="1" x14ac:dyDescent="0.35">
      <c r="F733" s="2"/>
      <c r="G733" s="3"/>
    </row>
    <row r="734" spans="6:7" ht="14.25" customHeight="1" x14ac:dyDescent="0.35">
      <c r="F734" s="2"/>
      <c r="G734" s="3"/>
    </row>
    <row r="735" spans="6:7" ht="14.25" customHeight="1" x14ac:dyDescent="0.35">
      <c r="F735" s="2"/>
      <c r="G735" s="3"/>
    </row>
    <row r="736" spans="6:7" ht="14.25" customHeight="1" x14ac:dyDescent="0.35">
      <c r="F736" s="2"/>
      <c r="G736" s="3"/>
    </row>
    <row r="737" spans="6:7" ht="14.25" customHeight="1" x14ac:dyDescent="0.35">
      <c r="F737" s="2"/>
      <c r="G737" s="3"/>
    </row>
    <row r="738" spans="6:7" ht="14.25" customHeight="1" x14ac:dyDescent="0.35">
      <c r="F738" s="2"/>
      <c r="G738" s="3"/>
    </row>
    <row r="739" spans="6:7" ht="14.25" customHeight="1" x14ac:dyDescent="0.35">
      <c r="F739" s="2"/>
      <c r="G739" s="3"/>
    </row>
    <row r="740" spans="6:7" ht="14.25" customHeight="1" x14ac:dyDescent="0.35">
      <c r="F740" s="2"/>
      <c r="G740" s="3"/>
    </row>
    <row r="741" spans="6:7" ht="14.25" customHeight="1" x14ac:dyDescent="0.35">
      <c r="F741" s="2"/>
      <c r="G741" s="3"/>
    </row>
    <row r="742" spans="6:7" ht="14.25" customHeight="1" x14ac:dyDescent="0.35">
      <c r="F742" s="2"/>
      <c r="G742" s="3"/>
    </row>
    <row r="743" spans="6:7" ht="14.25" customHeight="1" x14ac:dyDescent="0.35">
      <c r="F743" s="2"/>
      <c r="G743" s="3"/>
    </row>
    <row r="744" spans="6:7" ht="14.25" customHeight="1" x14ac:dyDescent="0.35">
      <c r="F744" s="2"/>
      <c r="G744" s="3"/>
    </row>
    <row r="745" spans="6:7" ht="14.25" customHeight="1" x14ac:dyDescent="0.35">
      <c r="F745" s="2"/>
      <c r="G745" s="3"/>
    </row>
    <row r="746" spans="6:7" ht="14.25" customHeight="1" x14ac:dyDescent="0.35">
      <c r="F746" s="2"/>
      <c r="G746" s="3"/>
    </row>
    <row r="747" spans="6:7" ht="14.25" customHeight="1" x14ac:dyDescent="0.35">
      <c r="F747" s="2"/>
      <c r="G747" s="3"/>
    </row>
    <row r="748" spans="6:7" ht="14.25" customHeight="1" x14ac:dyDescent="0.35">
      <c r="F748" s="2"/>
      <c r="G748" s="3"/>
    </row>
    <row r="749" spans="6:7" ht="14.25" customHeight="1" x14ac:dyDescent="0.35">
      <c r="F749" s="2"/>
      <c r="G749" s="3"/>
    </row>
    <row r="750" spans="6:7" ht="14.25" customHeight="1" x14ac:dyDescent="0.35">
      <c r="F750" s="2"/>
      <c r="G750" s="3"/>
    </row>
    <row r="751" spans="6:7" ht="14.25" customHeight="1" x14ac:dyDescent="0.35">
      <c r="F751" s="2"/>
      <c r="G751" s="3"/>
    </row>
    <row r="752" spans="6:7" ht="14.25" customHeight="1" x14ac:dyDescent="0.35">
      <c r="F752" s="2"/>
      <c r="G752" s="3"/>
    </row>
    <row r="753" spans="6:7" ht="14.25" customHeight="1" x14ac:dyDescent="0.35">
      <c r="F753" s="2"/>
      <c r="G753" s="3"/>
    </row>
    <row r="754" spans="6:7" ht="14.25" customHeight="1" x14ac:dyDescent="0.35">
      <c r="F754" s="2"/>
      <c r="G754" s="3"/>
    </row>
    <row r="755" spans="6:7" ht="14.25" customHeight="1" x14ac:dyDescent="0.35">
      <c r="F755" s="2"/>
      <c r="G755" s="3"/>
    </row>
    <row r="756" spans="6:7" ht="14.25" customHeight="1" x14ac:dyDescent="0.35">
      <c r="F756" s="2"/>
      <c r="G756" s="3"/>
    </row>
    <row r="757" spans="6:7" ht="14.25" customHeight="1" x14ac:dyDescent="0.35">
      <c r="F757" s="2"/>
      <c r="G757" s="3"/>
    </row>
    <row r="758" spans="6:7" ht="14.25" customHeight="1" x14ac:dyDescent="0.35">
      <c r="F758" s="2"/>
      <c r="G758" s="3"/>
    </row>
    <row r="759" spans="6:7" ht="14.25" customHeight="1" x14ac:dyDescent="0.35">
      <c r="F759" s="2"/>
      <c r="G759" s="3"/>
    </row>
    <row r="760" spans="6:7" ht="14.25" customHeight="1" x14ac:dyDescent="0.35">
      <c r="F760" s="2"/>
      <c r="G760" s="3"/>
    </row>
    <row r="761" spans="6:7" ht="14.25" customHeight="1" x14ac:dyDescent="0.35">
      <c r="F761" s="2"/>
      <c r="G761" s="3"/>
    </row>
    <row r="762" spans="6:7" ht="14.25" customHeight="1" x14ac:dyDescent="0.35">
      <c r="F762" s="2"/>
      <c r="G762" s="3"/>
    </row>
    <row r="763" spans="6:7" ht="14.25" customHeight="1" x14ac:dyDescent="0.35">
      <c r="F763" s="2"/>
      <c r="G763" s="3"/>
    </row>
    <row r="764" spans="6:7" ht="14.25" customHeight="1" x14ac:dyDescent="0.35">
      <c r="F764" s="2"/>
      <c r="G764" s="3"/>
    </row>
    <row r="765" spans="6:7" ht="14.25" customHeight="1" x14ac:dyDescent="0.35">
      <c r="F765" s="2"/>
      <c r="G765" s="3"/>
    </row>
    <row r="766" spans="6:7" ht="14.25" customHeight="1" x14ac:dyDescent="0.35">
      <c r="F766" s="2"/>
      <c r="G766" s="3"/>
    </row>
    <row r="767" spans="6:7" ht="14.25" customHeight="1" x14ac:dyDescent="0.35">
      <c r="F767" s="2"/>
      <c r="G767" s="3"/>
    </row>
    <row r="768" spans="6:7" ht="14.25" customHeight="1" x14ac:dyDescent="0.35">
      <c r="F768" s="2"/>
      <c r="G768" s="3"/>
    </row>
    <row r="769" spans="6:7" ht="14.25" customHeight="1" x14ac:dyDescent="0.35">
      <c r="F769" s="2"/>
      <c r="G769" s="3"/>
    </row>
    <row r="770" spans="6:7" ht="14.25" customHeight="1" x14ac:dyDescent="0.35">
      <c r="F770" s="2"/>
      <c r="G770" s="3"/>
    </row>
    <row r="771" spans="6:7" ht="14.25" customHeight="1" x14ac:dyDescent="0.35">
      <c r="F771" s="2"/>
      <c r="G771" s="3"/>
    </row>
    <row r="772" spans="6:7" ht="14.25" customHeight="1" x14ac:dyDescent="0.35">
      <c r="F772" s="2"/>
      <c r="G772" s="3"/>
    </row>
    <row r="773" spans="6:7" ht="14.25" customHeight="1" x14ac:dyDescent="0.35">
      <c r="F773" s="2"/>
      <c r="G773" s="3"/>
    </row>
    <row r="774" spans="6:7" ht="14.25" customHeight="1" x14ac:dyDescent="0.35">
      <c r="F774" s="2"/>
      <c r="G774" s="3"/>
    </row>
    <row r="775" spans="6:7" ht="14.25" customHeight="1" x14ac:dyDescent="0.35">
      <c r="F775" s="2"/>
      <c r="G775" s="3"/>
    </row>
    <row r="776" spans="6:7" ht="14.25" customHeight="1" x14ac:dyDescent="0.35">
      <c r="F776" s="2"/>
      <c r="G776" s="3"/>
    </row>
    <row r="777" spans="6:7" ht="14.25" customHeight="1" x14ac:dyDescent="0.35">
      <c r="F777" s="2"/>
      <c r="G777" s="3"/>
    </row>
    <row r="778" spans="6:7" ht="14.25" customHeight="1" x14ac:dyDescent="0.35">
      <c r="F778" s="2"/>
      <c r="G778" s="3"/>
    </row>
    <row r="779" spans="6:7" ht="14.25" customHeight="1" x14ac:dyDescent="0.35">
      <c r="F779" s="2"/>
      <c r="G779" s="3"/>
    </row>
    <row r="780" spans="6:7" ht="14.25" customHeight="1" x14ac:dyDescent="0.35">
      <c r="F780" s="2"/>
      <c r="G780" s="3"/>
    </row>
    <row r="781" spans="6:7" ht="14.25" customHeight="1" x14ac:dyDescent="0.35">
      <c r="F781" s="2"/>
      <c r="G781" s="3"/>
    </row>
    <row r="782" spans="6:7" ht="14.25" customHeight="1" x14ac:dyDescent="0.35">
      <c r="F782" s="2"/>
      <c r="G782" s="3"/>
    </row>
    <row r="783" spans="6:7" ht="14.25" customHeight="1" x14ac:dyDescent="0.35">
      <c r="F783" s="2"/>
      <c r="G783" s="3"/>
    </row>
    <row r="784" spans="6:7" ht="14.25" customHeight="1" x14ac:dyDescent="0.35">
      <c r="F784" s="2"/>
      <c r="G784" s="3"/>
    </row>
    <row r="785" spans="6:7" ht="14.25" customHeight="1" x14ac:dyDescent="0.35">
      <c r="F785" s="2"/>
      <c r="G785" s="3"/>
    </row>
    <row r="786" spans="6:7" ht="14.25" customHeight="1" x14ac:dyDescent="0.35">
      <c r="F786" s="2"/>
      <c r="G786" s="3"/>
    </row>
    <row r="787" spans="6:7" ht="14.25" customHeight="1" x14ac:dyDescent="0.35">
      <c r="F787" s="2"/>
      <c r="G787" s="3"/>
    </row>
    <row r="788" spans="6:7" ht="14.25" customHeight="1" x14ac:dyDescent="0.35">
      <c r="F788" s="2"/>
      <c r="G788" s="3"/>
    </row>
    <row r="789" spans="6:7" ht="14.25" customHeight="1" x14ac:dyDescent="0.35">
      <c r="F789" s="2"/>
      <c r="G789" s="3"/>
    </row>
    <row r="790" spans="6:7" ht="14.25" customHeight="1" x14ac:dyDescent="0.35">
      <c r="F790" s="2"/>
      <c r="G790" s="3"/>
    </row>
    <row r="791" spans="6:7" ht="14.25" customHeight="1" x14ac:dyDescent="0.35">
      <c r="F791" s="2"/>
      <c r="G791" s="3"/>
    </row>
    <row r="792" spans="6:7" ht="14.25" customHeight="1" x14ac:dyDescent="0.35">
      <c r="F792" s="2"/>
      <c r="G792" s="3"/>
    </row>
    <row r="793" spans="6:7" ht="14.25" customHeight="1" x14ac:dyDescent="0.35">
      <c r="F793" s="2"/>
      <c r="G793" s="3"/>
    </row>
    <row r="794" spans="6:7" ht="14.25" customHeight="1" x14ac:dyDescent="0.35">
      <c r="F794" s="2"/>
      <c r="G794" s="3"/>
    </row>
    <row r="795" spans="6:7" ht="14.25" customHeight="1" x14ac:dyDescent="0.35">
      <c r="F795" s="2"/>
      <c r="G795" s="3"/>
    </row>
    <row r="796" spans="6:7" ht="14.25" customHeight="1" x14ac:dyDescent="0.35">
      <c r="F796" s="2"/>
      <c r="G796" s="3"/>
    </row>
    <row r="797" spans="6:7" ht="14.25" customHeight="1" x14ac:dyDescent="0.35">
      <c r="F797" s="2"/>
      <c r="G797" s="3"/>
    </row>
    <row r="798" spans="6:7" ht="14.25" customHeight="1" x14ac:dyDescent="0.35">
      <c r="F798" s="2"/>
      <c r="G798" s="3"/>
    </row>
    <row r="799" spans="6:7" ht="14.25" customHeight="1" x14ac:dyDescent="0.35">
      <c r="F799" s="2"/>
      <c r="G799" s="3"/>
    </row>
    <row r="800" spans="6:7" ht="14.25" customHeight="1" x14ac:dyDescent="0.35">
      <c r="F800" s="2"/>
      <c r="G800" s="3"/>
    </row>
    <row r="801" spans="6:7" ht="14.25" customHeight="1" x14ac:dyDescent="0.35">
      <c r="F801" s="2"/>
      <c r="G801" s="3"/>
    </row>
    <row r="802" spans="6:7" ht="14.25" customHeight="1" x14ac:dyDescent="0.35">
      <c r="F802" s="2"/>
      <c r="G802" s="3"/>
    </row>
    <row r="803" spans="6:7" ht="14.25" customHeight="1" x14ac:dyDescent="0.35">
      <c r="F803" s="2"/>
      <c r="G803" s="3"/>
    </row>
    <row r="804" spans="6:7" ht="14.25" customHeight="1" x14ac:dyDescent="0.35">
      <c r="F804" s="2"/>
      <c r="G804" s="3"/>
    </row>
    <row r="805" spans="6:7" ht="14.25" customHeight="1" x14ac:dyDescent="0.35">
      <c r="F805" s="2"/>
      <c r="G805" s="3"/>
    </row>
    <row r="806" spans="6:7" ht="14.25" customHeight="1" x14ac:dyDescent="0.35">
      <c r="F806" s="2"/>
      <c r="G806" s="3"/>
    </row>
    <row r="807" spans="6:7" ht="14.25" customHeight="1" x14ac:dyDescent="0.35">
      <c r="F807" s="2"/>
      <c r="G807" s="3"/>
    </row>
    <row r="808" spans="6:7" ht="14.25" customHeight="1" x14ac:dyDescent="0.35">
      <c r="F808" s="2"/>
      <c r="G808" s="3"/>
    </row>
    <row r="809" spans="6:7" ht="14.25" customHeight="1" x14ac:dyDescent="0.35">
      <c r="F809" s="2"/>
      <c r="G809" s="3"/>
    </row>
    <row r="810" spans="6:7" ht="14.25" customHeight="1" x14ac:dyDescent="0.35">
      <c r="F810" s="2"/>
      <c r="G810" s="3"/>
    </row>
    <row r="811" spans="6:7" ht="14.25" customHeight="1" x14ac:dyDescent="0.35">
      <c r="F811" s="2"/>
      <c r="G811" s="3"/>
    </row>
    <row r="812" spans="6:7" ht="14.25" customHeight="1" x14ac:dyDescent="0.35">
      <c r="F812" s="2"/>
      <c r="G812" s="3"/>
    </row>
    <row r="813" spans="6:7" ht="14.25" customHeight="1" x14ac:dyDescent="0.35">
      <c r="F813" s="2"/>
      <c r="G813" s="3"/>
    </row>
    <row r="814" spans="6:7" ht="14.25" customHeight="1" x14ac:dyDescent="0.35">
      <c r="F814" s="2"/>
      <c r="G814" s="3"/>
    </row>
    <row r="815" spans="6:7" ht="14.25" customHeight="1" x14ac:dyDescent="0.35">
      <c r="F815" s="2"/>
      <c r="G815" s="3"/>
    </row>
    <row r="816" spans="6:7" ht="14.25" customHeight="1" x14ac:dyDescent="0.35">
      <c r="F816" s="2"/>
      <c r="G816" s="3"/>
    </row>
    <row r="817" spans="6:7" ht="14.25" customHeight="1" x14ac:dyDescent="0.35">
      <c r="F817" s="2"/>
      <c r="G817" s="3"/>
    </row>
    <row r="818" spans="6:7" ht="14.25" customHeight="1" x14ac:dyDescent="0.35">
      <c r="F818" s="2"/>
      <c r="G818" s="3"/>
    </row>
    <row r="819" spans="6:7" ht="14.25" customHeight="1" x14ac:dyDescent="0.35">
      <c r="F819" s="2"/>
      <c r="G819" s="3"/>
    </row>
    <row r="820" spans="6:7" ht="14.25" customHeight="1" x14ac:dyDescent="0.35">
      <c r="F820" s="2"/>
      <c r="G820" s="3"/>
    </row>
    <row r="821" spans="6:7" ht="14.25" customHeight="1" x14ac:dyDescent="0.35">
      <c r="F821" s="2"/>
      <c r="G821" s="3"/>
    </row>
    <row r="822" spans="6:7" ht="14.25" customHeight="1" x14ac:dyDescent="0.35">
      <c r="F822" s="2"/>
      <c r="G822" s="3"/>
    </row>
    <row r="823" spans="6:7" ht="14.25" customHeight="1" x14ac:dyDescent="0.35">
      <c r="F823" s="2"/>
      <c r="G823" s="3"/>
    </row>
    <row r="824" spans="6:7" ht="14.25" customHeight="1" x14ac:dyDescent="0.35">
      <c r="F824" s="2"/>
      <c r="G824" s="3"/>
    </row>
    <row r="825" spans="6:7" ht="14.25" customHeight="1" x14ac:dyDescent="0.35">
      <c r="F825" s="2"/>
      <c r="G825" s="3"/>
    </row>
    <row r="826" spans="6:7" ht="14.25" customHeight="1" x14ac:dyDescent="0.35">
      <c r="F826" s="2"/>
      <c r="G826" s="3"/>
    </row>
    <row r="827" spans="6:7" ht="14.25" customHeight="1" x14ac:dyDescent="0.35">
      <c r="F827" s="2"/>
      <c r="G827" s="3"/>
    </row>
    <row r="828" spans="6:7" ht="14.25" customHeight="1" x14ac:dyDescent="0.35">
      <c r="F828" s="2"/>
      <c r="G828" s="3"/>
    </row>
    <row r="829" spans="6:7" ht="14.25" customHeight="1" x14ac:dyDescent="0.35">
      <c r="F829" s="2"/>
      <c r="G829" s="3"/>
    </row>
    <row r="830" spans="6:7" ht="14.25" customHeight="1" x14ac:dyDescent="0.35">
      <c r="F830" s="2"/>
      <c r="G830" s="3"/>
    </row>
    <row r="831" spans="6:7" ht="14.25" customHeight="1" x14ac:dyDescent="0.35">
      <c r="F831" s="2"/>
      <c r="G831" s="3"/>
    </row>
    <row r="832" spans="6:7" ht="14.25" customHeight="1" x14ac:dyDescent="0.35">
      <c r="F832" s="2"/>
      <c r="G832" s="3"/>
    </row>
    <row r="833" spans="6:7" ht="14.25" customHeight="1" x14ac:dyDescent="0.35">
      <c r="F833" s="2"/>
      <c r="G833" s="3"/>
    </row>
    <row r="834" spans="6:7" ht="14.25" customHeight="1" x14ac:dyDescent="0.35">
      <c r="F834" s="2"/>
      <c r="G834" s="3"/>
    </row>
    <row r="835" spans="6:7" ht="14.25" customHeight="1" x14ac:dyDescent="0.35">
      <c r="F835" s="2"/>
      <c r="G835" s="3"/>
    </row>
    <row r="836" spans="6:7" ht="14.25" customHeight="1" x14ac:dyDescent="0.35">
      <c r="F836" s="2"/>
      <c r="G836" s="3"/>
    </row>
    <row r="837" spans="6:7" ht="14.25" customHeight="1" x14ac:dyDescent="0.35">
      <c r="F837" s="2"/>
      <c r="G837" s="3"/>
    </row>
    <row r="838" spans="6:7" ht="14.25" customHeight="1" x14ac:dyDescent="0.35">
      <c r="F838" s="2"/>
      <c r="G838" s="3"/>
    </row>
    <row r="839" spans="6:7" ht="14.25" customHeight="1" x14ac:dyDescent="0.35">
      <c r="F839" s="2"/>
      <c r="G839" s="3"/>
    </row>
    <row r="840" spans="6:7" ht="14.25" customHeight="1" x14ac:dyDescent="0.35">
      <c r="F840" s="2"/>
      <c r="G840" s="3"/>
    </row>
    <row r="841" spans="6:7" ht="14.25" customHeight="1" x14ac:dyDescent="0.35">
      <c r="F841" s="2"/>
      <c r="G841" s="3"/>
    </row>
    <row r="842" spans="6:7" ht="14.25" customHeight="1" x14ac:dyDescent="0.35">
      <c r="F842" s="2"/>
      <c r="G842" s="3"/>
    </row>
    <row r="843" spans="6:7" ht="14.25" customHeight="1" x14ac:dyDescent="0.35">
      <c r="F843" s="2"/>
      <c r="G843" s="3"/>
    </row>
    <row r="844" spans="6:7" ht="14.25" customHeight="1" x14ac:dyDescent="0.35">
      <c r="F844" s="2"/>
      <c r="G844" s="3"/>
    </row>
    <row r="845" spans="6:7" ht="14.25" customHeight="1" x14ac:dyDescent="0.35">
      <c r="F845" s="2"/>
      <c r="G845" s="3"/>
    </row>
    <row r="846" spans="6:7" ht="14.25" customHeight="1" x14ac:dyDescent="0.35">
      <c r="F846" s="2"/>
      <c r="G846" s="3"/>
    </row>
    <row r="847" spans="6:7" ht="14.25" customHeight="1" x14ac:dyDescent="0.35">
      <c r="F847" s="2"/>
      <c r="G847" s="3"/>
    </row>
    <row r="848" spans="6:7" ht="14.25" customHeight="1" x14ac:dyDescent="0.35">
      <c r="F848" s="2"/>
      <c r="G848" s="3"/>
    </row>
    <row r="849" spans="6:7" ht="14.25" customHeight="1" x14ac:dyDescent="0.35">
      <c r="F849" s="2"/>
      <c r="G849" s="3"/>
    </row>
    <row r="850" spans="6:7" ht="14.25" customHeight="1" x14ac:dyDescent="0.35">
      <c r="F850" s="2"/>
      <c r="G850" s="3"/>
    </row>
    <row r="851" spans="6:7" ht="14.25" customHeight="1" x14ac:dyDescent="0.35">
      <c r="F851" s="2"/>
      <c r="G851" s="3"/>
    </row>
    <row r="852" spans="6:7" ht="14.25" customHeight="1" x14ac:dyDescent="0.35">
      <c r="F852" s="2"/>
      <c r="G852" s="3"/>
    </row>
    <row r="853" spans="6:7" ht="14.25" customHeight="1" x14ac:dyDescent="0.35">
      <c r="F853" s="2"/>
      <c r="G853" s="3"/>
    </row>
    <row r="854" spans="6:7" ht="14.25" customHeight="1" x14ac:dyDescent="0.35">
      <c r="F854" s="2"/>
      <c r="G854" s="3"/>
    </row>
    <row r="855" spans="6:7" ht="14.25" customHeight="1" x14ac:dyDescent="0.35">
      <c r="F855" s="2"/>
      <c r="G855" s="3"/>
    </row>
    <row r="856" spans="6:7" ht="14.25" customHeight="1" x14ac:dyDescent="0.35">
      <c r="F856" s="2"/>
      <c r="G856" s="3"/>
    </row>
    <row r="857" spans="6:7" ht="14.25" customHeight="1" x14ac:dyDescent="0.35">
      <c r="F857" s="2"/>
      <c r="G857" s="3"/>
    </row>
    <row r="858" spans="6:7" ht="14.25" customHeight="1" x14ac:dyDescent="0.35">
      <c r="F858" s="2"/>
      <c r="G858" s="3"/>
    </row>
    <row r="859" spans="6:7" ht="14.25" customHeight="1" x14ac:dyDescent="0.35">
      <c r="F859" s="2"/>
      <c r="G859" s="3"/>
    </row>
    <row r="860" spans="6:7" ht="14.25" customHeight="1" x14ac:dyDescent="0.35">
      <c r="F860" s="2"/>
      <c r="G860" s="3"/>
    </row>
    <row r="861" spans="6:7" ht="14.25" customHeight="1" x14ac:dyDescent="0.35">
      <c r="F861" s="2"/>
      <c r="G861" s="3"/>
    </row>
    <row r="862" spans="6:7" ht="14.25" customHeight="1" x14ac:dyDescent="0.35">
      <c r="F862" s="2"/>
      <c r="G862" s="3"/>
    </row>
    <row r="863" spans="6:7" ht="14.25" customHeight="1" x14ac:dyDescent="0.35">
      <c r="F863" s="2"/>
      <c r="G863" s="3"/>
    </row>
    <row r="864" spans="6:7" ht="14.25" customHeight="1" x14ac:dyDescent="0.35">
      <c r="F864" s="2"/>
      <c r="G864" s="3"/>
    </row>
    <row r="865" spans="6:7" ht="14.25" customHeight="1" x14ac:dyDescent="0.35">
      <c r="F865" s="2"/>
      <c r="G865" s="3"/>
    </row>
    <row r="866" spans="6:7" ht="14.25" customHeight="1" x14ac:dyDescent="0.35">
      <c r="F866" s="2"/>
      <c r="G866" s="3"/>
    </row>
    <row r="867" spans="6:7" ht="14.25" customHeight="1" x14ac:dyDescent="0.35">
      <c r="F867" s="2"/>
      <c r="G867" s="3"/>
    </row>
    <row r="868" spans="6:7" ht="14.25" customHeight="1" x14ac:dyDescent="0.35">
      <c r="F868" s="2"/>
      <c r="G868" s="3"/>
    </row>
    <row r="869" spans="6:7" ht="14.25" customHeight="1" x14ac:dyDescent="0.35">
      <c r="F869" s="2"/>
      <c r="G869" s="3"/>
    </row>
    <row r="870" spans="6:7" ht="14.25" customHeight="1" x14ac:dyDescent="0.35">
      <c r="F870" s="2"/>
      <c r="G870" s="3"/>
    </row>
    <row r="871" spans="6:7" ht="14.25" customHeight="1" x14ac:dyDescent="0.35">
      <c r="F871" s="2"/>
      <c r="G871" s="3"/>
    </row>
    <row r="872" spans="6:7" ht="14.25" customHeight="1" x14ac:dyDescent="0.35">
      <c r="F872" s="2"/>
      <c r="G872" s="3"/>
    </row>
    <row r="873" spans="6:7" ht="14.25" customHeight="1" x14ac:dyDescent="0.35">
      <c r="F873" s="2"/>
      <c r="G873" s="3"/>
    </row>
    <row r="874" spans="6:7" ht="14.25" customHeight="1" x14ac:dyDescent="0.35">
      <c r="F874" s="2"/>
      <c r="G874" s="3"/>
    </row>
    <row r="875" spans="6:7" ht="14.25" customHeight="1" x14ac:dyDescent="0.35">
      <c r="F875" s="2"/>
      <c r="G875" s="3"/>
    </row>
    <row r="876" spans="6:7" ht="14.25" customHeight="1" x14ac:dyDescent="0.35">
      <c r="F876" s="2"/>
      <c r="G876" s="3"/>
    </row>
    <row r="877" spans="6:7" ht="14.25" customHeight="1" x14ac:dyDescent="0.35">
      <c r="F877" s="2"/>
      <c r="G877" s="3"/>
    </row>
    <row r="878" spans="6:7" ht="14.25" customHeight="1" x14ac:dyDescent="0.35">
      <c r="F878" s="2"/>
      <c r="G878" s="3"/>
    </row>
    <row r="879" spans="6:7" ht="14.25" customHeight="1" x14ac:dyDescent="0.35">
      <c r="F879" s="2"/>
      <c r="G879" s="3"/>
    </row>
    <row r="880" spans="6:7" ht="14.25" customHeight="1" x14ac:dyDescent="0.35">
      <c r="F880" s="2"/>
      <c r="G880" s="3"/>
    </row>
    <row r="881" spans="6:7" ht="14.25" customHeight="1" x14ac:dyDescent="0.35">
      <c r="F881" s="2"/>
      <c r="G881" s="3"/>
    </row>
    <row r="882" spans="6:7" ht="14.25" customHeight="1" x14ac:dyDescent="0.35">
      <c r="F882" s="2"/>
      <c r="G882" s="3"/>
    </row>
    <row r="883" spans="6:7" ht="14.25" customHeight="1" x14ac:dyDescent="0.35">
      <c r="F883" s="2"/>
      <c r="G883" s="3"/>
    </row>
    <row r="884" spans="6:7" ht="14.25" customHeight="1" x14ac:dyDescent="0.35">
      <c r="F884" s="2"/>
      <c r="G884" s="3"/>
    </row>
    <row r="885" spans="6:7" ht="14.25" customHeight="1" x14ac:dyDescent="0.35">
      <c r="F885" s="2"/>
      <c r="G885" s="3"/>
    </row>
    <row r="886" spans="6:7" ht="14.25" customHeight="1" x14ac:dyDescent="0.35">
      <c r="F886" s="2"/>
      <c r="G886" s="3"/>
    </row>
    <row r="887" spans="6:7" ht="14.25" customHeight="1" x14ac:dyDescent="0.35">
      <c r="F887" s="2"/>
      <c r="G887" s="3"/>
    </row>
    <row r="888" spans="6:7" ht="14.25" customHeight="1" x14ac:dyDescent="0.35">
      <c r="F888" s="2"/>
      <c r="G888" s="3"/>
    </row>
    <row r="889" spans="6:7" ht="14.25" customHeight="1" x14ac:dyDescent="0.35">
      <c r="F889" s="2"/>
      <c r="G889" s="3"/>
    </row>
    <row r="890" spans="6:7" ht="14.25" customHeight="1" x14ac:dyDescent="0.35">
      <c r="F890" s="2"/>
      <c r="G890" s="3"/>
    </row>
    <row r="891" spans="6:7" ht="14.25" customHeight="1" x14ac:dyDescent="0.35">
      <c r="F891" s="2"/>
      <c r="G891" s="3"/>
    </row>
    <row r="892" spans="6:7" ht="14.25" customHeight="1" x14ac:dyDescent="0.35">
      <c r="F892" s="2"/>
      <c r="G892" s="3"/>
    </row>
    <row r="893" spans="6:7" ht="14.25" customHeight="1" x14ac:dyDescent="0.35">
      <c r="F893" s="2"/>
      <c r="G893" s="3"/>
    </row>
    <row r="894" spans="6:7" ht="14.25" customHeight="1" x14ac:dyDescent="0.35">
      <c r="F894" s="2"/>
      <c r="G894" s="3"/>
    </row>
    <row r="895" spans="6:7" ht="14.25" customHeight="1" x14ac:dyDescent="0.35">
      <c r="F895" s="2"/>
      <c r="G895" s="3"/>
    </row>
    <row r="896" spans="6:7" ht="14.25" customHeight="1" x14ac:dyDescent="0.35">
      <c r="F896" s="2"/>
      <c r="G896" s="3"/>
    </row>
    <row r="897" spans="6:7" ht="14.25" customHeight="1" x14ac:dyDescent="0.35">
      <c r="F897" s="2"/>
      <c r="G897" s="3"/>
    </row>
    <row r="898" spans="6:7" ht="14.25" customHeight="1" x14ac:dyDescent="0.35">
      <c r="F898" s="2"/>
      <c r="G898" s="3"/>
    </row>
    <row r="899" spans="6:7" ht="14.25" customHeight="1" x14ac:dyDescent="0.35">
      <c r="F899" s="2"/>
      <c r="G899" s="3"/>
    </row>
    <row r="900" spans="6:7" ht="14.25" customHeight="1" x14ac:dyDescent="0.35">
      <c r="F900" s="2"/>
      <c r="G900" s="3"/>
    </row>
    <row r="901" spans="6:7" ht="14.25" customHeight="1" x14ac:dyDescent="0.35">
      <c r="F901" s="2"/>
      <c r="G901" s="3"/>
    </row>
    <row r="902" spans="6:7" ht="14.25" customHeight="1" x14ac:dyDescent="0.35">
      <c r="F902" s="2"/>
      <c r="G902" s="3"/>
    </row>
    <row r="903" spans="6:7" ht="14.25" customHeight="1" x14ac:dyDescent="0.35">
      <c r="F903" s="2"/>
      <c r="G903" s="3"/>
    </row>
    <row r="904" spans="6:7" ht="14.25" customHeight="1" x14ac:dyDescent="0.35">
      <c r="F904" s="2"/>
      <c r="G904" s="3"/>
    </row>
    <row r="905" spans="6:7" ht="14.25" customHeight="1" x14ac:dyDescent="0.35">
      <c r="F905" s="2"/>
      <c r="G905" s="3"/>
    </row>
    <row r="906" spans="6:7" ht="14.25" customHeight="1" x14ac:dyDescent="0.35">
      <c r="F906" s="2"/>
      <c r="G906" s="3"/>
    </row>
    <row r="907" spans="6:7" ht="14.25" customHeight="1" x14ac:dyDescent="0.35">
      <c r="F907" s="2"/>
      <c r="G907" s="3"/>
    </row>
    <row r="908" spans="6:7" ht="14.25" customHeight="1" x14ac:dyDescent="0.35">
      <c r="F908" s="2"/>
      <c r="G908" s="3"/>
    </row>
    <row r="909" spans="6:7" ht="14.25" customHeight="1" x14ac:dyDescent="0.35">
      <c r="F909" s="2"/>
      <c r="G909" s="3"/>
    </row>
    <row r="910" spans="6:7" ht="14.25" customHeight="1" x14ac:dyDescent="0.35">
      <c r="F910" s="2"/>
      <c r="G910" s="3"/>
    </row>
    <row r="911" spans="6:7" ht="14.25" customHeight="1" x14ac:dyDescent="0.35">
      <c r="F911" s="2"/>
      <c r="G911" s="3"/>
    </row>
    <row r="912" spans="6:7" ht="14.25" customHeight="1" x14ac:dyDescent="0.35">
      <c r="F912" s="2"/>
      <c r="G912" s="3"/>
    </row>
    <row r="913" spans="6:7" ht="14.25" customHeight="1" x14ac:dyDescent="0.35">
      <c r="F913" s="2"/>
      <c r="G913" s="3"/>
    </row>
    <row r="914" spans="6:7" ht="14.25" customHeight="1" x14ac:dyDescent="0.35">
      <c r="F914" s="2"/>
      <c r="G914" s="3"/>
    </row>
    <row r="915" spans="6:7" ht="14.25" customHeight="1" x14ac:dyDescent="0.35">
      <c r="F915" s="2"/>
      <c r="G915" s="3"/>
    </row>
    <row r="916" spans="6:7" ht="14.25" customHeight="1" x14ac:dyDescent="0.35">
      <c r="F916" s="2"/>
      <c r="G916" s="3"/>
    </row>
    <row r="917" spans="6:7" ht="14.25" customHeight="1" x14ac:dyDescent="0.35">
      <c r="F917" s="2"/>
      <c r="G917" s="3"/>
    </row>
    <row r="918" spans="6:7" ht="14.25" customHeight="1" x14ac:dyDescent="0.35">
      <c r="F918" s="2"/>
      <c r="G918" s="3"/>
    </row>
    <row r="919" spans="6:7" ht="14.25" customHeight="1" x14ac:dyDescent="0.35">
      <c r="F919" s="2"/>
      <c r="G919" s="3"/>
    </row>
    <row r="920" spans="6:7" ht="14.25" customHeight="1" x14ac:dyDescent="0.35">
      <c r="F920" s="2"/>
      <c r="G920" s="3"/>
    </row>
    <row r="921" spans="6:7" ht="14.25" customHeight="1" x14ac:dyDescent="0.35">
      <c r="F921" s="2"/>
      <c r="G921" s="3"/>
    </row>
    <row r="922" spans="6:7" ht="14.25" customHeight="1" x14ac:dyDescent="0.35">
      <c r="F922" s="2"/>
      <c r="G922" s="3"/>
    </row>
    <row r="923" spans="6:7" ht="14.25" customHeight="1" x14ac:dyDescent="0.35">
      <c r="F923" s="2"/>
      <c r="G923" s="3"/>
    </row>
    <row r="924" spans="6:7" ht="14.25" customHeight="1" x14ac:dyDescent="0.35">
      <c r="F924" s="2"/>
      <c r="G924" s="3"/>
    </row>
    <row r="925" spans="6:7" ht="14.25" customHeight="1" x14ac:dyDescent="0.35">
      <c r="F925" s="2"/>
      <c r="G925" s="3"/>
    </row>
    <row r="926" spans="6:7" ht="14.25" customHeight="1" x14ac:dyDescent="0.35">
      <c r="F926" s="2"/>
      <c r="G926" s="3"/>
    </row>
    <row r="927" spans="6:7" ht="14.25" customHeight="1" x14ac:dyDescent="0.35">
      <c r="F927" s="2"/>
      <c r="G927" s="3"/>
    </row>
    <row r="928" spans="6:7" ht="14.25" customHeight="1" x14ac:dyDescent="0.35">
      <c r="F928" s="2"/>
      <c r="G928" s="3"/>
    </row>
    <row r="929" spans="6:7" ht="14.25" customHeight="1" x14ac:dyDescent="0.35">
      <c r="F929" s="2"/>
      <c r="G929" s="3"/>
    </row>
    <row r="930" spans="6:7" ht="14.25" customHeight="1" x14ac:dyDescent="0.35">
      <c r="F930" s="2"/>
      <c r="G930" s="3"/>
    </row>
    <row r="931" spans="6:7" ht="14.25" customHeight="1" x14ac:dyDescent="0.35">
      <c r="F931" s="2"/>
      <c r="G931" s="3"/>
    </row>
    <row r="932" spans="6:7" ht="14.25" customHeight="1" x14ac:dyDescent="0.35">
      <c r="F932" s="2"/>
      <c r="G932" s="3"/>
    </row>
    <row r="933" spans="6:7" ht="14.25" customHeight="1" x14ac:dyDescent="0.35">
      <c r="F933" s="2"/>
      <c r="G933" s="3"/>
    </row>
    <row r="934" spans="6:7" ht="14.25" customHeight="1" x14ac:dyDescent="0.35">
      <c r="F934" s="2"/>
      <c r="G934" s="3"/>
    </row>
    <row r="935" spans="6:7" ht="14.25" customHeight="1" x14ac:dyDescent="0.35">
      <c r="F935" s="2"/>
      <c r="G935" s="3"/>
    </row>
    <row r="936" spans="6:7" ht="14.25" customHeight="1" x14ac:dyDescent="0.35">
      <c r="F936" s="2"/>
      <c r="G936" s="3"/>
    </row>
    <row r="937" spans="6:7" ht="14.25" customHeight="1" x14ac:dyDescent="0.35">
      <c r="F937" s="2"/>
      <c r="G937" s="3"/>
    </row>
    <row r="938" spans="6:7" ht="14.25" customHeight="1" x14ac:dyDescent="0.35">
      <c r="F938" s="2"/>
      <c r="G938" s="3"/>
    </row>
    <row r="939" spans="6:7" ht="14.25" customHeight="1" x14ac:dyDescent="0.35">
      <c r="F939" s="2"/>
      <c r="G939" s="3"/>
    </row>
    <row r="940" spans="6:7" ht="14.25" customHeight="1" x14ac:dyDescent="0.35">
      <c r="F940" s="2"/>
      <c r="G940" s="3"/>
    </row>
    <row r="941" spans="6:7" ht="14.25" customHeight="1" x14ac:dyDescent="0.35">
      <c r="F941" s="2"/>
      <c r="G941" s="3"/>
    </row>
    <row r="942" spans="6:7" ht="14.25" customHeight="1" x14ac:dyDescent="0.35">
      <c r="F942" s="2"/>
      <c r="G942" s="3"/>
    </row>
    <row r="943" spans="6:7" ht="14.25" customHeight="1" x14ac:dyDescent="0.35">
      <c r="F943" s="2"/>
      <c r="G943" s="3"/>
    </row>
    <row r="944" spans="6:7" ht="14.25" customHeight="1" x14ac:dyDescent="0.35">
      <c r="F944" s="2"/>
      <c r="G944" s="3"/>
    </row>
    <row r="945" spans="6:7" ht="14.25" customHeight="1" x14ac:dyDescent="0.35">
      <c r="F945" s="2"/>
      <c r="G945" s="3"/>
    </row>
    <row r="946" spans="6:7" ht="14.25" customHeight="1" x14ac:dyDescent="0.35">
      <c r="F946" s="2"/>
      <c r="G946" s="3"/>
    </row>
    <row r="947" spans="6:7" ht="14.25" customHeight="1" x14ac:dyDescent="0.35">
      <c r="F947" s="2"/>
      <c r="G947" s="3"/>
    </row>
    <row r="948" spans="6:7" ht="14.25" customHeight="1" x14ac:dyDescent="0.35">
      <c r="F948" s="2"/>
      <c r="G948" s="3"/>
    </row>
    <row r="949" spans="6:7" ht="14.25" customHeight="1" x14ac:dyDescent="0.35">
      <c r="F949" s="2"/>
      <c r="G949" s="3"/>
    </row>
    <row r="950" spans="6:7" ht="14.25" customHeight="1" x14ac:dyDescent="0.35">
      <c r="F950" s="2"/>
      <c r="G950" s="3"/>
    </row>
    <row r="951" spans="6:7" ht="14.25" customHeight="1" x14ac:dyDescent="0.35">
      <c r="F951" s="2"/>
      <c r="G951" s="3"/>
    </row>
    <row r="952" spans="6:7" ht="14.25" customHeight="1" x14ac:dyDescent="0.35">
      <c r="F952" s="2"/>
      <c r="G952" s="3"/>
    </row>
    <row r="953" spans="6:7" ht="14.25" customHeight="1" x14ac:dyDescent="0.35">
      <c r="F953" s="2"/>
      <c r="G953" s="3"/>
    </row>
    <row r="954" spans="6:7" ht="14.25" customHeight="1" x14ac:dyDescent="0.35">
      <c r="F954" s="2"/>
      <c r="G954" s="3"/>
    </row>
    <row r="955" spans="6:7" ht="14.25" customHeight="1" x14ac:dyDescent="0.35">
      <c r="F955" s="2"/>
      <c r="G955" s="3"/>
    </row>
    <row r="956" spans="6:7" ht="14.25" customHeight="1" x14ac:dyDescent="0.35">
      <c r="F956" s="2"/>
      <c r="G956" s="3"/>
    </row>
    <row r="957" spans="6:7" ht="14.25" customHeight="1" x14ac:dyDescent="0.35">
      <c r="F957" s="2"/>
      <c r="G957" s="3"/>
    </row>
    <row r="958" spans="6:7" ht="14.25" customHeight="1" x14ac:dyDescent="0.35">
      <c r="F958" s="2"/>
      <c r="G958" s="3"/>
    </row>
    <row r="959" spans="6:7" ht="14.25" customHeight="1" x14ac:dyDescent="0.35">
      <c r="F959" s="2"/>
      <c r="G959" s="3"/>
    </row>
    <row r="960" spans="6:7" ht="14.25" customHeight="1" x14ac:dyDescent="0.35">
      <c r="F960" s="2"/>
      <c r="G960" s="3"/>
    </row>
    <row r="961" spans="6:7" ht="14.25" customHeight="1" x14ac:dyDescent="0.35">
      <c r="F961" s="2"/>
      <c r="G961" s="3"/>
    </row>
    <row r="962" spans="6:7" ht="14.25" customHeight="1" x14ac:dyDescent="0.35">
      <c r="F962" s="2"/>
      <c r="G962" s="3"/>
    </row>
    <row r="963" spans="6:7" ht="14.25" customHeight="1" x14ac:dyDescent="0.35">
      <c r="F963" s="2"/>
      <c r="G963" s="3"/>
    </row>
    <row r="964" spans="6:7" ht="14.25" customHeight="1" x14ac:dyDescent="0.35">
      <c r="F964" s="2"/>
      <c r="G964" s="3"/>
    </row>
    <row r="965" spans="6:7" ht="14.25" customHeight="1" x14ac:dyDescent="0.35">
      <c r="F965" s="2"/>
      <c r="G965" s="3"/>
    </row>
    <row r="966" spans="6:7" ht="14.25" customHeight="1" x14ac:dyDescent="0.35">
      <c r="F966" s="2"/>
      <c r="G966" s="3"/>
    </row>
    <row r="967" spans="6:7" ht="14.25" customHeight="1" x14ac:dyDescent="0.35">
      <c r="F967" s="2"/>
      <c r="G967" s="3"/>
    </row>
    <row r="968" spans="6:7" ht="14.25" customHeight="1" x14ac:dyDescent="0.35">
      <c r="F968" s="2"/>
      <c r="G968" s="3"/>
    </row>
    <row r="969" spans="6:7" ht="14.25" customHeight="1" x14ac:dyDescent="0.35">
      <c r="F969" s="2"/>
      <c r="G969" s="3"/>
    </row>
    <row r="970" spans="6:7" ht="14.25" customHeight="1" x14ac:dyDescent="0.35">
      <c r="F970" s="2"/>
      <c r="G970" s="3"/>
    </row>
    <row r="971" spans="6:7" ht="14.25" customHeight="1" x14ac:dyDescent="0.35">
      <c r="F971" s="2"/>
      <c r="G971" s="3"/>
    </row>
    <row r="972" spans="6:7" ht="14.25" customHeight="1" x14ac:dyDescent="0.35">
      <c r="F972" s="2"/>
      <c r="G972" s="3"/>
    </row>
    <row r="973" spans="6:7" ht="14.25" customHeight="1" x14ac:dyDescent="0.35">
      <c r="F973" s="2"/>
      <c r="G973" s="3"/>
    </row>
    <row r="974" spans="6:7" ht="14.25" customHeight="1" x14ac:dyDescent="0.35">
      <c r="F974" s="2"/>
      <c r="G974" s="3"/>
    </row>
    <row r="975" spans="6:7" ht="14.25" customHeight="1" x14ac:dyDescent="0.35">
      <c r="F975" s="2"/>
      <c r="G975" s="3"/>
    </row>
    <row r="976" spans="6:7" ht="14.25" customHeight="1" x14ac:dyDescent="0.35">
      <c r="F976" s="2"/>
      <c r="G976" s="3"/>
    </row>
    <row r="977" spans="6:7" ht="14.25" customHeight="1" x14ac:dyDescent="0.35">
      <c r="F977" s="2"/>
      <c r="G977" s="3"/>
    </row>
    <row r="978" spans="6:7" ht="14.25" customHeight="1" x14ac:dyDescent="0.35">
      <c r="F978" s="2"/>
      <c r="G978" s="3"/>
    </row>
    <row r="979" spans="6:7" ht="14.25" customHeight="1" x14ac:dyDescent="0.35">
      <c r="F979" s="2"/>
      <c r="G979" s="3"/>
    </row>
    <row r="980" spans="6:7" ht="14.25" customHeight="1" x14ac:dyDescent="0.35">
      <c r="F980" s="2"/>
      <c r="G980" s="3"/>
    </row>
    <row r="981" spans="6:7" ht="14.25" customHeight="1" x14ac:dyDescent="0.35">
      <c r="F981" s="2"/>
      <c r="G981" s="3"/>
    </row>
    <row r="982" spans="6:7" ht="14.25" customHeight="1" x14ac:dyDescent="0.35">
      <c r="F982" s="2"/>
      <c r="G982" s="3"/>
    </row>
    <row r="983" spans="6:7" ht="14.25" customHeight="1" x14ac:dyDescent="0.35">
      <c r="F983" s="2"/>
      <c r="G983" s="3"/>
    </row>
    <row r="984" spans="6:7" ht="14.25" customHeight="1" x14ac:dyDescent="0.35">
      <c r="F984" s="2"/>
      <c r="G984" s="3"/>
    </row>
    <row r="985" spans="6:7" ht="14.25" customHeight="1" x14ac:dyDescent="0.35">
      <c r="F985" s="2"/>
      <c r="G985" s="3"/>
    </row>
    <row r="986" spans="6:7" ht="14.25" customHeight="1" x14ac:dyDescent="0.35">
      <c r="F986" s="2"/>
      <c r="G986" s="3"/>
    </row>
    <row r="987" spans="6:7" ht="14.25" customHeight="1" x14ac:dyDescent="0.35">
      <c r="F987" s="2"/>
      <c r="G987" s="3"/>
    </row>
    <row r="988" spans="6:7" ht="14.25" customHeight="1" x14ac:dyDescent="0.35">
      <c r="F988" s="2"/>
      <c r="G988" s="3"/>
    </row>
    <row r="989" spans="6:7" ht="14.25" customHeight="1" x14ac:dyDescent="0.35">
      <c r="F989" s="2"/>
      <c r="G989" s="3"/>
    </row>
    <row r="990" spans="6:7" ht="14.25" customHeight="1" x14ac:dyDescent="0.35">
      <c r="F990" s="2"/>
      <c r="G990" s="3"/>
    </row>
    <row r="991" spans="6:7" ht="14.25" customHeight="1" x14ac:dyDescent="0.35">
      <c r="F991" s="2"/>
      <c r="G991" s="3"/>
    </row>
    <row r="992" spans="6:7" ht="14.25" customHeight="1" x14ac:dyDescent="0.35">
      <c r="F992" s="2"/>
      <c r="G992" s="3"/>
    </row>
    <row r="993" spans="6:7" ht="14.25" customHeight="1" x14ac:dyDescent="0.35">
      <c r="F993" s="2"/>
      <c r="G993" s="3"/>
    </row>
    <row r="994" spans="6:7" ht="14.25" customHeight="1" x14ac:dyDescent="0.35">
      <c r="F994" s="2"/>
      <c r="G994" s="3"/>
    </row>
    <row r="995" spans="6:7" ht="14.25" customHeight="1" x14ac:dyDescent="0.35">
      <c r="F995" s="2"/>
      <c r="G995" s="3"/>
    </row>
    <row r="996" spans="6:7" ht="14.25" customHeight="1" x14ac:dyDescent="0.35">
      <c r="F996" s="2"/>
      <c r="G996" s="3"/>
    </row>
    <row r="997" spans="6:7" ht="14.25" customHeight="1" x14ac:dyDescent="0.35">
      <c r="F997" s="2"/>
      <c r="G997" s="3"/>
    </row>
    <row r="998" spans="6:7" ht="14.25" customHeight="1" x14ac:dyDescent="0.35">
      <c r="F998" s="2"/>
      <c r="G998" s="3"/>
    </row>
    <row r="999" spans="6:7" ht="14.25" customHeight="1" x14ac:dyDescent="0.35">
      <c r="F999" s="2"/>
      <c r="G999" s="3"/>
    </row>
    <row r="1000" spans="6:7" ht="14.25" customHeight="1" x14ac:dyDescent="0.35">
      <c r="F1000" s="2"/>
      <c r="G1000" s="3"/>
    </row>
    <row r="1001" spans="6:7" ht="14.25" customHeight="1" x14ac:dyDescent="0.35">
      <c r="F1001" s="2"/>
      <c r="G1001" s="3"/>
    </row>
    <row r="1002" spans="6:7" ht="14.25" customHeight="1" x14ac:dyDescent="0.35">
      <c r="F1002" s="2"/>
      <c r="G1002" s="3"/>
    </row>
    <row r="1003" spans="6:7" ht="14.25" customHeight="1" x14ac:dyDescent="0.35">
      <c r="F1003" s="2"/>
      <c r="G1003" s="3"/>
    </row>
    <row r="1004" spans="6:7" ht="14.25" customHeight="1" x14ac:dyDescent="0.35">
      <c r="F1004" s="2"/>
      <c r="G1004" s="3"/>
    </row>
    <row r="1005" spans="6:7" ht="14.25" customHeight="1" x14ac:dyDescent="0.35">
      <c r="F1005" s="2"/>
      <c r="G1005" s="3"/>
    </row>
    <row r="1006" spans="6:7" ht="14.25" customHeight="1" x14ac:dyDescent="0.35">
      <c r="F1006" s="2"/>
      <c r="G1006" s="3"/>
    </row>
    <row r="1007" spans="6:7" ht="14.25" customHeight="1" x14ac:dyDescent="0.35">
      <c r="F1007" s="2"/>
      <c r="G1007" s="3"/>
    </row>
    <row r="1008" spans="6:7" ht="14.25" customHeight="1" x14ac:dyDescent="0.35">
      <c r="F1008" s="2"/>
      <c r="G1008" s="3"/>
    </row>
    <row r="1009" spans="6:7" ht="14.25" customHeight="1" x14ac:dyDescent="0.35">
      <c r="F1009" s="2"/>
      <c r="G1009" s="3"/>
    </row>
    <row r="1010" spans="6:7" ht="14.25" customHeight="1" x14ac:dyDescent="0.35">
      <c r="F1010" s="2"/>
      <c r="G1010" s="3"/>
    </row>
    <row r="1011" spans="6:7" ht="14.25" customHeight="1" x14ac:dyDescent="0.35">
      <c r="F1011" s="2"/>
      <c r="G1011" s="3"/>
    </row>
    <row r="1012" spans="6:7" ht="14.25" customHeight="1" x14ac:dyDescent="0.35">
      <c r="F1012" s="2"/>
      <c r="G1012" s="3"/>
    </row>
    <row r="1013" spans="6:7" ht="14.25" customHeight="1" x14ac:dyDescent="0.35">
      <c r="F1013" s="2"/>
      <c r="G1013" s="3"/>
    </row>
    <row r="1014" spans="6:7" ht="14.25" customHeight="1" x14ac:dyDescent="0.35">
      <c r="F1014" s="2"/>
      <c r="G1014" s="3"/>
    </row>
    <row r="1015" spans="6:7" ht="14.25" customHeight="1" x14ac:dyDescent="0.35">
      <c r="F1015" s="2"/>
      <c r="G1015" s="3"/>
    </row>
    <row r="1016" spans="6:7" ht="14.25" customHeight="1" x14ac:dyDescent="0.35">
      <c r="F1016" s="2"/>
      <c r="G1016" s="3"/>
    </row>
    <row r="1017" spans="6:7" ht="14.25" customHeight="1" x14ac:dyDescent="0.35">
      <c r="F1017" s="2"/>
      <c r="G1017" s="3"/>
    </row>
    <row r="1018" spans="6:7" ht="14.25" customHeight="1" x14ac:dyDescent="0.35">
      <c r="F1018" s="2"/>
      <c r="G1018" s="3"/>
    </row>
    <row r="1019" spans="6:7" ht="14.25" customHeight="1" x14ac:dyDescent="0.35">
      <c r="F1019" s="2"/>
      <c r="G1019" s="3"/>
    </row>
    <row r="1020" spans="6:7" ht="14.25" customHeight="1" x14ac:dyDescent="0.35">
      <c r="F1020" s="2"/>
      <c r="G1020" s="3"/>
    </row>
    <row r="1021" spans="6:7" ht="14.25" customHeight="1" x14ac:dyDescent="0.35">
      <c r="F1021" s="2"/>
      <c r="G1021" s="3"/>
    </row>
    <row r="1022" spans="6:7" ht="14.25" customHeight="1" x14ac:dyDescent="0.35">
      <c r="F1022" s="2"/>
      <c r="G1022" s="3"/>
    </row>
    <row r="1023" spans="6:7" ht="14.25" customHeight="1" x14ac:dyDescent="0.35">
      <c r="F1023" s="2"/>
      <c r="G1023" s="3"/>
    </row>
    <row r="1024" spans="6:7" ht="14.25" customHeight="1" x14ac:dyDescent="0.35">
      <c r="F1024" s="2"/>
      <c r="G1024" s="3"/>
    </row>
    <row r="1025" s="1" customFormat="1" ht="15" customHeight="1" x14ac:dyDescent="0.35"/>
    <row r="1026" s="1" customFormat="1" ht="15" customHeight="1" x14ac:dyDescent="0.35"/>
    <row r="1027" s="1" customFormat="1" ht="15" customHeight="1" x14ac:dyDescent="0.35"/>
    <row r="1028" s="1" customFormat="1" ht="15" customHeight="1" x14ac:dyDescent="0.35"/>
    <row r="1029" s="1" customFormat="1" ht="15" customHeight="1" x14ac:dyDescent="0.35"/>
    <row r="1030" s="1" customFormat="1" ht="15" customHeight="1" x14ac:dyDescent="0.35"/>
    <row r="1031" s="1" customFormat="1" ht="15" customHeight="1" x14ac:dyDescent="0.35"/>
    <row r="1032" s="1" customFormat="1" ht="15" customHeight="1" x14ac:dyDescent="0.35"/>
    <row r="1033" s="1" customFormat="1" ht="15" customHeight="1" x14ac:dyDescent="0.35"/>
    <row r="1034" s="1" customFormat="1" ht="15" customHeight="1" x14ac:dyDescent="0.35"/>
  </sheetData>
  <mergeCells count="31">
    <mergeCell ref="B2:E2"/>
    <mergeCell ref="B3:E15"/>
    <mergeCell ref="B17:D17"/>
    <mergeCell ref="B18:C18"/>
    <mergeCell ref="B19:C19"/>
    <mergeCell ref="B20:C20"/>
    <mergeCell ref="B21:C21"/>
    <mergeCell ref="B22:C22"/>
    <mergeCell ref="B23:C23"/>
    <mergeCell ref="F27:H27"/>
    <mergeCell ref="F29:H29"/>
    <mergeCell ref="F28:H28"/>
    <mergeCell ref="B89:D89"/>
    <mergeCell ref="B36:C36"/>
    <mergeCell ref="B37:D37"/>
    <mergeCell ref="B50:D50"/>
    <mergeCell ref="B63:D63"/>
    <mergeCell ref="B76:D76"/>
    <mergeCell ref="F30:H30"/>
    <mergeCell ref="F31:H31"/>
    <mergeCell ref="F32:H32"/>
    <mergeCell ref="B102:D102"/>
    <mergeCell ref="B115:D115"/>
    <mergeCell ref="F120:G120"/>
    <mergeCell ref="I120:K120"/>
    <mergeCell ref="B121:D121"/>
    <mergeCell ref="F121:G121"/>
    <mergeCell ref="B119:D119"/>
    <mergeCell ref="B116:D116"/>
    <mergeCell ref="B117:D117"/>
    <mergeCell ref="B118:D118"/>
  </mergeCells>
  <dataValidations disablePrompts="1" count="1">
    <dataValidation type="list" allowBlank="1" showErrorMessage="1" sqref="E77:E88 E64:E75 E103:E114 E51:E62 E38:E49 E90:E101" xr:uid="{C15C9549-0307-461F-AB34-341522F4959A}">
      <formula1>"QA,PIP,PCA,Other"</formula1>
    </dataValidation>
  </dataValidations>
  <pageMargins left="0.25" right="0.25" top="0.25" bottom="0.25" header="0.25" footer="0.25"/>
  <pageSetup paperSize="5" scale="36" orientation="landscape" r:id="rId1"/>
  <headerFooter>
    <oddFooter>&amp;C&amp;"-,Bold" Confidential&amp;RPage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Summary</vt:lpstr>
      <vt:lpstr>2024 Capex Plan</vt:lpstr>
      <vt:lpstr>2025 Capex Plan</vt:lpstr>
      <vt:lpstr>2026 Capex Plan</vt:lpstr>
      <vt:lpstr>2027 Capex Plan</vt:lpstr>
      <vt:lpstr>2028 Capex Plan</vt:lpstr>
      <vt:lpstr>'2024 Capex Plan'!Print_Area</vt:lpstr>
      <vt:lpstr>'2025 Capex Plan'!Print_Area</vt:lpstr>
      <vt:lpstr>'2026 Capex Plan'!Print_Area</vt:lpstr>
      <vt:lpstr>'2027 Capex Plan'!Print_Area</vt:lpstr>
      <vt:lpstr>'2028 Capex Plan'!Print_Area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 Kook</dc:creator>
  <cp:lastModifiedBy>eshan m</cp:lastModifiedBy>
  <cp:lastPrinted>2023-09-05T02:32:17Z</cp:lastPrinted>
  <dcterms:created xsi:type="dcterms:W3CDTF">2013-07-19T17:23:14Z</dcterms:created>
  <dcterms:modified xsi:type="dcterms:W3CDTF">2025-12-11T03:07:51Z</dcterms:modified>
</cp:coreProperties>
</file>